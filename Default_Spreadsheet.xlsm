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3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schabarum\Documents\GitExcel\TestTasksManagement\"/>
    </mc:Choice>
  </mc:AlternateContent>
  <xr:revisionPtr revIDLastSave="0" documentId="13_ncr:1_{FB4CCDA1-B1A0-4CFE-838D-2EF15A0CB8D9}" xr6:coauthVersionLast="47" xr6:coauthVersionMax="47" xr10:uidLastSave="{00000000-0000-0000-0000-000000000000}"/>
  <bookViews>
    <workbookView xWindow="-120" yWindow="-120" windowWidth="29040" windowHeight="15840" firstSheet="1" activeTab="2" xr2:uid="{0DBCE600-3EA3-4AC0-AB35-008D9FABB1A4}"/>
  </bookViews>
  <sheets>
    <sheet name="Sample" sheetId="298" state="veryHidden" r:id="rId1"/>
    <sheet name="Trace" sheetId="2" r:id="rId2"/>
    <sheet name="TestCases" sheetId="1313" r:id="rId3"/>
    <sheet name="Statistics" sheetId="290" r:id="rId4"/>
  </sheets>
  <functionGroups builtInGroupCount="19"/>
  <definedNames>
    <definedName name="_xlnm._FilterDatabase" localSheetId="2" hidden="1">TestCases!$A$1:$G$21992</definedName>
    <definedName name="_xlnm._FilterDatabase" localSheetId="1" hidden="1">Trace!$A$1:$H$1976</definedName>
    <definedName name="_polarion_2" localSheetId="2">OFFSET(_polarion_options_start,MATCH(CONCATENATE(TestCases!_polarion_project,"/:","Type"),_polarion_options_types,0),1,COUNTIF(_polarion_options_types,CONCATENATE(TestCases!_polarion_project,"/:","Type")),1)</definedName>
    <definedName name="_polarion_2">OFFSET(_polarion_options_start,MATCH(CONCATENATE(_polarion_project,"/:","Type"),_polarion_options_types,0),1,COUNTIF(_polarion_options_types,CONCATENATE(_polarion_project,"/:","Type")),1)</definedName>
    <definedName name="_polarion_info" localSheetId="2">#REF!</definedName>
    <definedName name="_polarion_info">#REF!</definedName>
    <definedName name="_polarion_options_start">#REF!</definedName>
    <definedName name="_polarion_options_types">#REF!</definedName>
    <definedName name="_polarion_project" localSheetId="2">IF(ISBLANK(TestCases!_polarion_info),"ClearVision",LEFT(TestCases!_polarion_info,SEARCH("/",TestCases!_polarion_info,1)-1))</definedName>
    <definedName name="_polarion_project">IF(ISBLANK(_polarion_info),"ClearVision",LEFT(_polarion_info,SEARCH("/",_polarion_info,1)-1))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90" l="1" a="1"/>
  <c r="A1" i="290" s="1"/>
  <c r="D2" i="1313" l="1" a="1"/>
  <c r="D2" i="1313" s="1"/>
  <c r="F2" i="298" l="1" a="1"/>
  <c r="F2" i="298" s="1"/>
  <c r="C49" i="290" l="1"/>
  <c r="C50" i="290"/>
  <c r="C48" i="290"/>
  <c r="E2" i="298" a="1"/>
  <c r="E2" i="298" s="1"/>
  <c r="D2" i="298" a="1"/>
  <c r="D2" i="298" s="1"/>
  <c r="C2" i="298" a="1"/>
  <c r="C2" i="298" s="1"/>
  <c r="B53" i="290" l="1"/>
  <c r="A2" i="298" a="1"/>
  <c r="A2" i="298" s="1"/>
  <c r="B849" i="2" a="1"/>
  <c r="C867" i="2" a="1"/>
  <c r="C1353" i="2" a="1"/>
  <c r="C411" i="2" a="1"/>
  <c r="C1017" i="2" a="1"/>
  <c r="C1882" i="2" a="1"/>
  <c r="B469" i="2" a="1"/>
  <c r="C260" i="2" a="1"/>
  <c r="B1905" i="2" a="1"/>
  <c r="C985" i="2" a="1"/>
  <c r="B1060" i="2" a="1"/>
  <c r="C240" i="2" a="1"/>
  <c r="B1405" i="2" a="1"/>
  <c r="B167" i="2" a="1"/>
  <c r="B1932" i="2" a="1"/>
  <c r="B1597" i="2" a="1"/>
  <c r="C1775" i="2" a="1"/>
  <c r="C1357" i="2" a="1"/>
  <c r="C1946" i="2" a="1"/>
  <c r="B1038" i="2" a="1"/>
  <c r="B1465" i="2" a="1"/>
  <c r="B492" i="2" a="1"/>
  <c r="B1410" i="2" a="1"/>
  <c r="B759" i="2" a="1"/>
  <c r="C471" i="2" a="1"/>
  <c r="B1474" i="2" a="1"/>
  <c r="B114" i="2" a="1"/>
  <c r="B1746" i="2" a="1"/>
  <c r="C1443" i="2" a="1"/>
  <c r="B1649" i="2" a="1"/>
  <c r="C1529" i="2" a="1"/>
  <c r="B435" i="2" a="1"/>
  <c r="B305" i="2" a="1"/>
  <c r="B1335" i="2" a="1"/>
  <c r="C1117" i="2" a="1"/>
  <c r="C689" i="2" a="1"/>
  <c r="C1115" i="2" a="1"/>
  <c r="B1376" i="2" a="1"/>
  <c r="C1487" i="2" a="1"/>
  <c r="C571" i="2" a="1"/>
  <c r="C1465" i="2" a="1"/>
  <c r="C789" i="2" a="1"/>
  <c r="C1411" i="2" a="1"/>
  <c r="C1773" i="2" a="1"/>
  <c r="C783" i="2" a="1"/>
  <c r="C1262" i="2" a="1"/>
  <c r="C917" i="2" a="1"/>
  <c r="B392" i="2" a="1"/>
  <c r="B342" i="2" a="1"/>
  <c r="C342" i="2" a="1"/>
  <c r="C1056" i="2" a="1"/>
  <c r="B60" i="2" a="1"/>
  <c r="B149" i="2" a="1"/>
  <c r="C1081" i="2" a="1"/>
  <c r="B1111" i="2" a="1"/>
  <c r="C694" i="2" a="1"/>
  <c r="C1109" i="2" a="1"/>
  <c r="B229" i="2" a="1"/>
  <c r="C1378" i="2" a="1"/>
  <c r="C756" i="2" a="1"/>
  <c r="B794" i="2" a="1"/>
  <c r="B1529" i="2" a="1"/>
  <c r="B1017" i="2" a="1"/>
  <c r="B1795" i="2" a="1"/>
  <c r="C202" i="2" a="1"/>
  <c r="C1671" i="2" a="1"/>
  <c r="C823" i="2" a="1"/>
  <c r="B1169" i="2" a="1"/>
  <c r="B1763" i="2" a="1"/>
  <c r="C1074" i="2" a="1"/>
  <c r="C466" i="2" a="1"/>
  <c r="B683" i="2" a="1"/>
  <c r="C620" i="2" a="1"/>
  <c r="B1176" i="2" a="1"/>
  <c r="B482" i="2" a="1"/>
  <c r="B518" i="2" a="1"/>
  <c r="B507" i="2" a="1"/>
  <c r="B1742" i="2" a="1"/>
  <c r="B1759" i="2" a="1"/>
  <c r="C392" i="2" a="1"/>
  <c r="C1199" i="2" a="1"/>
  <c r="B686" i="2" a="1"/>
  <c r="C347" i="2" a="1"/>
  <c r="B988" i="2" a="1"/>
  <c r="C614" i="2" a="1"/>
  <c r="C995" i="2" a="1"/>
  <c r="B1844" i="2" a="1"/>
  <c r="B1678" i="2" a="1"/>
  <c r="B1490" i="2" a="1"/>
  <c r="B555" i="2" a="1"/>
  <c r="C1007" i="2" a="1"/>
  <c r="B314" i="2" a="1"/>
  <c r="B218" i="2" a="1"/>
  <c r="C1257" i="2" a="1"/>
  <c r="C933" i="2" a="1"/>
  <c r="C1348" i="2" a="1"/>
  <c r="C324" i="2" a="1"/>
  <c r="C1313" i="2" a="1"/>
  <c r="C548" i="2" a="1"/>
  <c r="B368" i="2" a="1"/>
  <c r="C270" i="2" a="1"/>
  <c r="C1953" i="2" a="1"/>
  <c r="C1607" i="2" a="1"/>
  <c r="B1420" i="2" a="1"/>
  <c r="C1393" i="2" a="1"/>
  <c r="C1311" i="2" a="1"/>
  <c r="C1505" i="2" a="1"/>
  <c r="B732" i="2" a="1"/>
  <c r="B211" i="2" a="1"/>
  <c r="B1500" i="2" a="1"/>
  <c r="B110" i="2" a="1"/>
  <c r="C1664" i="2" a="1"/>
  <c r="B1517" i="2" a="1"/>
  <c r="B577" i="2" a="1"/>
  <c r="C454" i="2" a="1"/>
  <c r="C934" i="2" a="1"/>
  <c r="B1378" i="2" a="1"/>
  <c r="C1563" i="2" a="1"/>
  <c r="C1580" i="2" a="1"/>
  <c r="B994" i="2" a="1"/>
  <c r="C1283" i="2" a="1"/>
  <c r="B1568" i="2" a="1"/>
  <c r="C247" i="2" a="1"/>
  <c r="C1497" i="2" a="1"/>
  <c r="B150" i="2" a="1"/>
  <c r="C495" i="2" a="1"/>
  <c r="C1881" i="2" a="1"/>
  <c r="B1230" i="2" a="1"/>
  <c r="B1065" i="2" a="1"/>
  <c r="B997" i="2" a="1"/>
  <c r="B213" i="2" a="1"/>
  <c r="B1303" i="2" a="1"/>
  <c r="C1783" i="2" a="1"/>
  <c r="C329" i="2" a="1"/>
  <c r="C862" i="2" a="1"/>
  <c r="B1764" i="2" a="1"/>
  <c r="B1902" i="2" a="1"/>
  <c r="C408" i="2" a="1"/>
  <c r="B1683" i="2" a="1"/>
  <c r="B1933" i="2" a="1"/>
  <c r="B1222" i="2" a="1"/>
  <c r="C1898" i="2" a="1"/>
  <c r="C1707" i="2" a="1"/>
  <c r="C1306" i="2" a="1"/>
  <c r="B629" i="2" a="1"/>
  <c r="C619" i="2" a="1"/>
  <c r="C1962" i="2" a="1"/>
  <c r="B616" i="2" a="1"/>
  <c r="B1352" i="2" a="1"/>
  <c r="B1800" i="2" a="1"/>
  <c r="B1354" i="2" a="1"/>
  <c r="B1934" i="2" a="1"/>
  <c r="C1685" i="2" a="1"/>
  <c r="B212" i="2" a="1"/>
  <c r="B557" i="2" a="1"/>
  <c r="B950" i="2" a="1"/>
  <c r="B1364" i="2" a="1"/>
  <c r="B1268" i="2" a="1"/>
  <c r="B1218" i="2" a="1"/>
  <c r="B460" i="2" a="1"/>
  <c r="B1034" i="2" a="1"/>
  <c r="C1351" i="2" a="1"/>
  <c r="C274" i="2" a="1"/>
  <c r="B520" i="2" a="1"/>
  <c r="B173" i="2" a="1"/>
  <c r="C309" i="2" a="1"/>
  <c r="B1713" i="2" a="1"/>
  <c r="C480" i="2" a="1"/>
  <c r="C1699" i="2" a="1"/>
  <c r="C346" i="2" a="1"/>
  <c r="B1296" i="2" a="1"/>
  <c r="B1256" i="2" a="1"/>
  <c r="B43" i="2" a="1"/>
  <c r="B1958" i="2" a="1"/>
  <c r="C1208" i="2" a="1"/>
  <c r="B375" i="2" a="1"/>
  <c r="B960" i="2" a="1"/>
  <c r="C158" i="2" a="1"/>
  <c r="B1009" i="2" a="1"/>
  <c r="B1831" i="2" a="1"/>
  <c r="B55" i="2" a="1"/>
  <c r="C1386" i="2" a="1"/>
  <c r="B1884" i="2" a="1"/>
  <c r="B401" i="2" a="1"/>
  <c r="C1635" i="2" a="1"/>
  <c r="B874" i="2" a="1"/>
  <c r="B1883" i="2" a="1"/>
  <c r="C389" i="2" a="1"/>
  <c r="B168" i="2" a="1"/>
  <c r="C1833" i="2" a="1"/>
  <c r="B1669" i="2" a="1"/>
  <c r="B183" i="2" a="1"/>
  <c r="C296" i="2" a="1"/>
  <c r="B355" i="2" a="1"/>
  <c r="B1821" i="2" a="1"/>
  <c r="B477" i="2" a="1"/>
  <c r="B196" i="2" a="1"/>
  <c r="B1168" i="2" a="1"/>
  <c r="B47" i="2" a="1"/>
  <c r="B1131" i="2" a="1"/>
  <c r="C661" i="2" a="1"/>
  <c r="B700" i="2" a="1"/>
  <c r="C634" i="2" a="1"/>
  <c r="B1107" i="2" a="1"/>
  <c r="C1211" i="2" a="1"/>
  <c r="B1572" i="2" a="1"/>
  <c r="C1776" i="2" a="1"/>
  <c r="C430" i="2" a="1"/>
  <c r="C1188" i="2" a="1"/>
  <c r="C553" i="2" a="1"/>
  <c r="C1573" i="2" a="1"/>
  <c r="B1216" i="2" a="1"/>
  <c r="B1225" i="2" a="1"/>
  <c r="B1278" i="2" a="1"/>
  <c r="B1563" i="2" a="1"/>
  <c r="B1356" i="2" a="1"/>
  <c r="C838" i="2" a="1"/>
  <c r="B930" i="2" a="1"/>
  <c r="B1419" i="2" a="1"/>
  <c r="C1609" i="2" a="1"/>
  <c r="B1848" i="2" a="1"/>
  <c r="B1722" i="2" a="1"/>
  <c r="B1633" i="2" a="1"/>
  <c r="B317" i="2" a="1"/>
  <c r="B1249" i="2" a="1"/>
  <c r="C1504" i="2" a="1"/>
  <c r="C705" i="2" a="1"/>
  <c r="C751" i="2" a="1"/>
  <c r="B274" i="2" a="1"/>
  <c r="B944" i="2" a="1"/>
  <c r="B1790" i="2" a="1"/>
  <c r="C1106" i="2" a="1"/>
  <c r="B1077" i="2" a="1"/>
  <c r="B1124" i="2" a="1"/>
  <c r="B358" i="2" a="1"/>
  <c r="B1719" i="2" a="1"/>
  <c r="C855" i="2" a="1"/>
  <c r="C312" i="2" a="1"/>
  <c r="C1305" i="2" a="1"/>
  <c r="C424" i="2" a="1"/>
  <c r="C1570" i="2" a="1"/>
  <c r="C958" i="2" a="1"/>
  <c r="C1744" i="2" a="1"/>
  <c r="B1450" i="2" a="1"/>
  <c r="B618" i="2" a="1"/>
  <c r="C1589" i="2" a="1"/>
  <c r="B910" i="2" a="1"/>
  <c r="C896" i="2" a="1"/>
  <c r="C846" i="2" a="1"/>
  <c r="C914" i="2" a="1"/>
  <c r="C876" i="2" a="1"/>
  <c r="C455" i="2" a="1"/>
  <c r="C677" i="2" a="1"/>
  <c r="B151" i="2" a="1"/>
  <c r="B300" i="2" a="1"/>
  <c r="B1276" i="2" a="1"/>
  <c r="B1360" i="2" a="1"/>
  <c r="B1428" i="2" a="1"/>
  <c r="B1758" i="2" a="1"/>
  <c r="B1750" i="2" a="1"/>
  <c r="B1752" i="2" a="1"/>
  <c r="B955" i="2" a="1"/>
  <c r="C1728" i="2" a="1"/>
  <c r="B1050" i="2" a="1"/>
  <c r="C1901" i="2" a="1"/>
  <c r="C1649" i="2" a="1"/>
  <c r="B1305" i="2" a="1"/>
  <c r="B972" i="2" a="1"/>
  <c r="B1125" i="2" a="1"/>
  <c r="B804" i="2" a="1"/>
  <c r="B1427" i="2" a="1"/>
  <c r="B751" i="2" a="1"/>
  <c r="B573" i="2" a="1"/>
  <c r="B1018" i="2" a="1"/>
  <c r="C1272" i="2" a="1"/>
  <c r="C1973" i="2" a="1"/>
  <c r="C379" i="2" a="1"/>
  <c r="C499" i="2" a="1"/>
  <c r="B1697" i="2" a="1"/>
  <c r="C1791" i="2" a="1"/>
  <c r="C996" i="2" a="1"/>
  <c r="C1396" i="2" a="1"/>
  <c r="C630" i="2" a="1"/>
  <c r="B1916" i="2" a="1"/>
  <c r="C1705" i="2" a="1"/>
  <c r="B502" i="2" a="1"/>
  <c r="C1307" i="2" a="1"/>
  <c r="C676" i="2" a="1"/>
  <c r="C1543" i="2" a="1"/>
  <c r="B1546" i="2" a="1"/>
  <c r="B747" i="2" a="1"/>
  <c r="B1604" i="2" a="1"/>
  <c r="B531" i="2" a="1"/>
  <c r="B44" i="2" a="1"/>
  <c r="C1064" i="2" a="1"/>
  <c r="B1863" i="2" a="1"/>
  <c r="B1088" i="2" a="1"/>
  <c r="B1869" i="2" a="1"/>
  <c r="B1142" i="2" a="1"/>
  <c r="C1934" i="2" a="1"/>
  <c r="B1384" i="2" a="1"/>
  <c r="B104" i="2" a="1"/>
  <c r="B364" i="2" a="1"/>
  <c r="B35" i="2" a="1"/>
  <c r="B343" i="2" a="1"/>
  <c r="C1539" i="2" a="1"/>
  <c r="C1866" i="2" a="1"/>
  <c r="C1850" i="2" a="1"/>
  <c r="B85" i="2" a="1"/>
  <c r="B1705" i="2" a="1"/>
  <c r="C1088" i="2" a="1"/>
  <c r="C643" i="2" a="1"/>
  <c r="C160" i="2" a="1"/>
  <c r="B1429" i="2" a="1"/>
  <c r="B1846" i="2" a="1"/>
  <c r="C561" i="2" a="1"/>
  <c r="B1415" i="2" a="1"/>
  <c r="B19" i="2" a="1"/>
  <c r="B727" i="2" a="1"/>
  <c r="C301" i="2" a="1"/>
  <c r="B45" i="2" a="1"/>
  <c r="B615" i="2" a="1"/>
  <c r="C740" i="2" a="1"/>
  <c r="C1959" i="2" a="1"/>
  <c r="C1029" i="2" a="1"/>
  <c r="C1739" i="2" a="1"/>
  <c r="C1551" i="2" a="1"/>
  <c r="B107" i="2" a="1"/>
  <c r="B288" i="2" a="1"/>
  <c r="C812" i="2" a="1"/>
  <c r="C1928" i="2" a="1"/>
  <c r="C1457" i="2" a="1"/>
  <c r="B549" i="2" a="1"/>
  <c r="B566" i="2" a="1"/>
  <c r="C967" i="2" a="1"/>
  <c r="C1130" i="2" a="1"/>
  <c r="C1889" i="2" a="1"/>
  <c r="B1263" i="2" a="1"/>
  <c r="C1538" i="2" a="1"/>
  <c r="B1032" i="2" a="1"/>
  <c r="B1015" i="2" a="1"/>
  <c r="B1184" i="2" a="1"/>
  <c r="B782" i="2" a="1"/>
  <c r="B1438" i="2" a="1"/>
  <c r="C472" i="2" a="1"/>
  <c r="B208" i="2" a="1"/>
  <c r="C1192" i="2" a="1"/>
  <c r="B1087" i="2" a="1"/>
  <c r="C451" i="2" a="1"/>
  <c r="B226" i="2" a="1"/>
  <c r="B497" i="2" a="1"/>
  <c r="C1863" i="2" a="1"/>
  <c r="B1008" i="2" a="1"/>
  <c r="C250" i="2" a="1"/>
  <c r="B512" i="2" a="1"/>
  <c r="B281" i="2" a="1"/>
  <c r="B1715" i="2" a="1"/>
  <c r="C1407" i="2" a="1"/>
  <c r="C313" i="2" a="1"/>
  <c r="B1081" i="2" a="1"/>
  <c r="B1434" i="2" a="1"/>
  <c r="B650" i="2" a="1"/>
  <c r="B1400" i="2" a="1"/>
  <c r="B1138" i="2" a="1"/>
  <c r="B1676" i="2" a="1"/>
  <c r="C782" i="2" a="1"/>
  <c r="B10" i="2" a="1"/>
  <c r="C278" i="2" a="1"/>
  <c r="B420" i="2" a="1"/>
  <c r="C522" i="2" a="1"/>
  <c r="B23" i="2" a="1"/>
  <c r="C1670" i="2" a="1"/>
  <c r="C738" i="2" a="1"/>
  <c r="C942" i="2" a="1"/>
  <c r="C1553" i="2" a="1"/>
  <c r="B1559" i="2" a="1"/>
  <c r="B1346" i="2" a="1"/>
  <c r="C1967" i="2" a="1"/>
  <c r="B140" i="2" a="1"/>
  <c r="B1090" i="2" a="1"/>
  <c r="B637" i="2" a="1"/>
  <c r="C382" i="2" a="1"/>
  <c r="B564" i="2" a="1"/>
  <c r="C460" i="2" a="1"/>
  <c r="B1322" i="2" a="1"/>
  <c r="B1887" i="2" a="1"/>
  <c r="B723" i="2" a="1"/>
  <c r="B728" i="2" a="1"/>
  <c r="B292" i="2" a="1"/>
  <c r="B1777" i="2" a="1"/>
  <c r="C1467" i="2" a="1"/>
  <c r="C534" i="2" a="1"/>
  <c r="C443" i="2" a="1"/>
  <c r="C1374" i="2" a="1"/>
  <c r="C1204" i="2" a="1"/>
  <c r="B805" i="2" a="1"/>
  <c r="C961" i="2" a="1"/>
  <c r="B1062" i="2" a="1"/>
  <c r="B523" i="2" a="1"/>
  <c r="B1320" i="2" a="1"/>
  <c r="C1018" i="2" a="1"/>
  <c r="B713" i="2" a="1"/>
  <c r="B1873" i="2" a="1"/>
  <c r="B1969" i="2" a="1"/>
  <c r="C831" i="2" a="1"/>
  <c r="B926" i="2" a="1"/>
  <c r="B62" i="2" a="1"/>
  <c r="B774" i="2" a="1"/>
  <c r="C1101" i="2" a="1"/>
  <c r="C902" i="2" a="1"/>
  <c r="C892" i="2" a="1"/>
  <c r="B416" i="2" a="1"/>
  <c r="B1700" i="2" a="1"/>
  <c r="C784" i="2" a="1"/>
  <c r="B1941" i="2" a="1"/>
  <c r="C549" i="2" a="1"/>
  <c r="B1217" i="2" a="1"/>
  <c r="B693" i="2" a="1"/>
  <c r="B278" i="2" a="1"/>
  <c r="C1146" i="2" a="1"/>
  <c r="C1122" i="2" a="1"/>
  <c r="C1263" i="2" a="1"/>
  <c r="C1385" i="2" a="1"/>
  <c r="C1392" i="2" a="1"/>
  <c r="B1637" i="2" a="1"/>
  <c r="C431" i="2" a="1"/>
  <c r="B1505" i="2" a="1"/>
  <c r="C528" i="2" a="1"/>
  <c r="B772" i="2" a="1"/>
  <c r="C489" i="2" a="1"/>
  <c r="C1355" i="2" a="1"/>
  <c r="B18" i="2" a="1"/>
  <c r="B100" i="2" a="1"/>
  <c r="C1605" i="2" a="1"/>
  <c r="B717" i="2" a="1"/>
  <c r="C604" i="2" a="1"/>
  <c r="B428" i="2" a="1"/>
  <c r="B1229" i="2" a="1"/>
  <c r="C1030" i="2" a="1"/>
  <c r="B1181" i="2" a="1"/>
  <c r="C1150" i="2" a="1"/>
  <c r="C1202" i="2" a="1"/>
  <c r="B1623" i="2" a="1"/>
  <c r="B130" i="2" a="1"/>
  <c r="C348" i="2" a="1"/>
  <c r="B771" i="2" a="1"/>
  <c r="C1522" i="2" a="1"/>
  <c r="B1735" i="2" a="1"/>
  <c r="B540" i="2" a="1"/>
  <c r="B1770" i="2" a="1"/>
  <c r="B1252" i="2" a="1"/>
  <c r="C576" i="2" a="1"/>
  <c r="B959" i="2" a="1"/>
  <c r="B694" i="2" a="1"/>
  <c r="B626" i="2" a="1"/>
  <c r="B1210" i="2" a="1"/>
  <c r="B1148" i="2" a="1"/>
  <c r="B1666" i="2" a="1"/>
  <c r="B890" i="2" a="1"/>
  <c r="B1058" i="2" a="1"/>
  <c r="B1802" i="2" a="1"/>
  <c r="C742" i="2" a="1"/>
  <c r="B1922" i="2" a="1"/>
  <c r="B89" i="2" a="1"/>
  <c r="C1917" i="2" a="1"/>
  <c r="C1131" i="2" a="1"/>
  <c r="B715" i="2" a="1"/>
  <c r="B122" i="2" a="1"/>
  <c r="B48" i="2" a="1"/>
  <c r="B1896" i="2" a="1"/>
  <c r="B1174" i="2" a="1"/>
  <c r="C1280" i="2" a="1"/>
  <c r="B1607" i="2" a="1"/>
  <c r="B1146" i="2" a="1"/>
  <c r="C523" i="2" a="1"/>
  <c r="B598" i="2" a="1"/>
  <c r="C1077" i="2" a="1"/>
  <c r="B1259" i="2" a="1"/>
  <c r="B503" i="2" a="1"/>
  <c r="C1444" i="2" a="1"/>
  <c r="C1597" i="2" a="1"/>
  <c r="C535" i="2" a="1"/>
  <c r="C1059" i="2" a="1"/>
  <c r="B1707" i="2" a="1"/>
  <c r="C1229" i="2" a="1"/>
  <c r="B1492" i="2" a="1"/>
  <c r="B1392" i="2" a="1"/>
  <c r="B940" i="2" a="1"/>
  <c r="C913" i="2" a="1"/>
  <c r="C377" i="2" a="1"/>
  <c r="B907" i="2" a="1"/>
  <c r="C882" i="2" a="1"/>
  <c r="C1768" i="2" a="1"/>
  <c r="B1488" i="2" a="1"/>
  <c r="B16" i="2" a="1"/>
  <c r="B1135" i="2" a="1"/>
  <c r="B488" i="2" a="1"/>
  <c r="C994" i="2" a="1"/>
  <c r="B635" i="2" a="1"/>
  <c r="C790" i="2" a="1"/>
  <c r="B1319" i="2" a="1"/>
  <c r="B341" i="2" a="1"/>
  <c r="C1693" i="2" a="1"/>
  <c r="B834" i="2" a="1"/>
  <c r="C504" i="2" a="1"/>
  <c r="C1066" i="2" a="1"/>
  <c r="C1174" i="2" a="1"/>
  <c r="B399" i="2" a="1"/>
  <c r="C1453" i="2" a="1"/>
  <c r="C1233" i="2" a="1"/>
  <c r="C1660" i="2" a="1"/>
  <c r="B363" i="2" a="1"/>
  <c r="C847" i="2" a="1"/>
  <c r="C1429" i="2" a="1"/>
  <c r="C1961" i="2" a="1"/>
  <c r="B1868" i="2" a="1"/>
  <c r="C417" i="2" a="1"/>
  <c r="B803" i="2" a="1"/>
  <c r="B174" i="2" a="1"/>
  <c r="C552" i="2" a="1"/>
  <c r="C898" i="2" a="1"/>
  <c r="C1084" i="2" a="1"/>
  <c r="C852" i="2" a="1"/>
  <c r="B1553" i="2" a="1"/>
  <c r="C1879" i="2" a="1"/>
  <c r="B1832" i="2" a="1"/>
  <c r="C1231" i="2" a="1"/>
  <c r="C1197" i="2" a="1"/>
  <c r="B995" i="2" a="1"/>
  <c r="B1231" i="2" a="1"/>
  <c r="B1801" i="2" a="1"/>
  <c r="B1853" i="2" a="1"/>
  <c r="C821" i="2" a="1"/>
  <c r="C1332" i="2" a="1"/>
  <c r="B222" i="2" a="1"/>
  <c r="C792" i="2" a="1"/>
  <c r="B721" i="2" a="1"/>
  <c r="C1976" i="2" a="1"/>
  <c r="B369" i="2" a="1"/>
  <c r="C1447" i="2" a="1"/>
  <c r="B1127" i="2" a="1"/>
  <c r="B1561" i="2" a="1"/>
  <c r="C291" i="2" a="1"/>
  <c r="C378" i="2" a="1"/>
  <c r="C1253" i="2" a="1"/>
  <c r="B904" i="2" a="1"/>
  <c r="B289" i="2" a="1"/>
  <c r="C1290" i="2" a="1"/>
  <c r="C1628" i="2" a="1"/>
  <c r="B656" i="2" a="1"/>
  <c r="B1562" i="2" a="1"/>
  <c r="B1911" i="2" a="1"/>
  <c r="B1213" i="2" a="1"/>
  <c r="B1226" i="2" a="1"/>
  <c r="C469" i="2" a="1"/>
  <c r="B556" i="2" a="1"/>
  <c r="C1483" i="2" a="1"/>
  <c r="B1766" i="2" a="1"/>
  <c r="C1031" i="2" a="1"/>
  <c r="B1130" i="2" a="1"/>
  <c r="B705" i="2" a="1"/>
  <c r="B1970" i="2" a="1"/>
  <c r="C1678" i="2" a="1"/>
  <c r="B1639" i="2" a="1"/>
  <c r="B983" i="2" a="1"/>
  <c r="B762" i="2" a="1"/>
  <c r="B679" i="2" a="1"/>
  <c r="C1303" i="2" a="1"/>
  <c r="C1874" i="2" a="1"/>
  <c r="C1902" i="2" a="1"/>
  <c r="B519" i="2" a="1"/>
  <c r="B971" i="2" a="1"/>
  <c r="B13" i="2" a="1"/>
  <c r="C893" i="2" a="1"/>
  <c r="B1569" i="2" a="1"/>
  <c r="C1645" i="2" a="1"/>
  <c r="C569" i="2" a="1"/>
  <c r="C284" i="2" a="1"/>
  <c r="B938" i="2" a="1"/>
  <c r="B333" i="2" a="1"/>
  <c r="B788" i="2" a="1"/>
  <c r="B608" i="2" a="1"/>
  <c r="B1368" i="2" a="1"/>
  <c r="B680" i="2" a="1"/>
  <c r="B366" i="2" a="1"/>
  <c r="B572" i="2" a="1"/>
  <c r="C599" i="2" a="1"/>
  <c r="C1230" i="2" a="1"/>
  <c r="B742" i="2" a="1"/>
  <c r="C1826" i="2" a="1"/>
  <c r="C1726" i="2" a="1"/>
  <c r="B325" i="2" a="1"/>
  <c r="B1926" i="2" a="1"/>
  <c r="B30" i="2" a="1"/>
  <c r="C822" i="2" a="1"/>
  <c r="C1662" i="2" a="1"/>
  <c r="C1552" i="2" a="1"/>
  <c r="C327" i="2" a="1"/>
  <c r="B961" i="2" a="1"/>
  <c r="B1767" i="2" a="1"/>
  <c r="B1453" i="2" a="1"/>
  <c r="B811" i="2" a="1"/>
  <c r="B1782" i="2" a="1"/>
  <c r="C757" i="2" a="1"/>
  <c r="C1531" i="2" a="1"/>
  <c r="B1475" i="2" a="1"/>
  <c r="B395" i="2" a="1"/>
  <c r="C849" i="2" a="1"/>
  <c r="C1096" i="2" a="1"/>
  <c r="B1530" i="2" a="1"/>
  <c r="C709" i="2" a="1"/>
  <c r="B1306" i="2" a="1"/>
  <c r="B819" i="2" a="1"/>
  <c r="B1545" i="2" a="1"/>
  <c r="C1799" i="2" a="1"/>
  <c r="B990" i="2" a="1"/>
  <c r="B404" i="2" a="1"/>
  <c r="C1606" i="2" a="1"/>
  <c r="B1495" i="2" a="1"/>
  <c r="C884" i="2" a="1"/>
  <c r="C261" i="2" a="1"/>
  <c r="B1449" i="2" a="1"/>
  <c r="C1828" i="2" a="1"/>
  <c r="B378" i="2" a="1"/>
  <c r="C1565" i="2" a="1"/>
  <c r="C1403" i="2" a="1"/>
  <c r="B1327" i="2" a="1"/>
  <c r="C1557" i="2" a="1"/>
  <c r="B474" i="2" a="1"/>
  <c r="C749" i="2" a="1"/>
  <c r="B152" i="2" a="1"/>
  <c r="B967" i="2" a="1"/>
  <c r="B1944" i="2" a="1"/>
  <c r="C1890" i="2" a="1"/>
  <c r="C938" i="2" a="1"/>
  <c r="B1261" i="2" a="1"/>
  <c r="B198" i="2" a="1"/>
  <c r="C1747" i="2" a="1"/>
  <c r="B1626" i="2" a="1"/>
  <c r="B423" i="2" a="1"/>
  <c r="B1860" i="2" a="1"/>
  <c r="B1877" i="2" a="1"/>
  <c r="B155" i="2" a="1"/>
  <c r="C764" i="2" a="1"/>
  <c r="C1490" i="2" a="1"/>
  <c r="C1639" i="2" a="1"/>
  <c r="B1617" i="2" a="1"/>
  <c r="C1240" i="2" a="1"/>
  <c r="C762" i="2" a="1"/>
  <c r="C1521" i="2" a="1"/>
  <c r="C465" i="2" a="1"/>
  <c r="C1203" i="2" a="1"/>
  <c r="C1743" i="2" a="1"/>
  <c r="C1496" i="2" a="1"/>
  <c r="C1502" i="2" a="1"/>
  <c r="B1738" i="2" a="1"/>
  <c r="B1689" i="2" a="1"/>
  <c r="B1714" i="2" a="1"/>
  <c r="C1956" i="2" a="1"/>
  <c r="C613" i="2" a="1"/>
  <c r="C1091" i="2" a="1"/>
  <c r="C633" i="2" a="1"/>
  <c r="B453" i="2" a="1"/>
  <c r="C698" i="2" a="1"/>
  <c r="C1547" i="2" a="1"/>
  <c r="C1762" i="2" a="1"/>
  <c r="C1177" i="2" a="1"/>
  <c r="B664" i="2" a="1"/>
  <c r="C835" i="2" a="1"/>
  <c r="C886" i="2" a="1"/>
  <c r="C464" i="2" a="1"/>
  <c r="B703" i="2" a="1"/>
  <c r="B1849" i="2" a="1"/>
  <c r="B1693" i="2" a="1"/>
  <c r="B1598" i="2" a="1"/>
  <c r="C877" i="2" a="1"/>
  <c r="B591" i="2" a="1"/>
  <c r="C492" i="2" a="1"/>
  <c r="C612" i="2" a="1"/>
  <c r="B1791" i="2" a="1"/>
  <c r="B487" i="2" a="1"/>
  <c r="B583" i="2" a="1"/>
  <c r="C266" i="2" a="1"/>
  <c r="B230" i="2" a="1"/>
  <c r="C1251" i="2" a="1"/>
  <c r="C546" i="2" a="1"/>
  <c r="C1434" i="2" a="1"/>
  <c r="B1479" i="2" a="1"/>
  <c r="B1348" i="2" a="1"/>
  <c r="B1522" i="2" a="1"/>
  <c r="B783" i="2" a="1"/>
  <c r="B620" i="2" a="1"/>
  <c r="B785" i="2" a="1"/>
  <c r="C1720" i="2" a="1"/>
  <c r="C1621" i="2" a="1"/>
  <c r="B1128" i="2" a="1"/>
  <c r="C478" i="2" a="1"/>
  <c r="C1474" i="2" a="1"/>
  <c r="C1782" i="2" a="1"/>
  <c r="C1220" i="2" a="1"/>
  <c r="C716" i="2" a="1"/>
  <c r="B124" i="2" a="1"/>
  <c r="B335" i="2" a="1"/>
  <c r="B1150" i="2" a="1"/>
  <c r="B918" i="2" a="1"/>
  <c r="B468" i="2" a="1"/>
  <c r="B894" i="2" a="1"/>
  <c r="B1383" i="2" a="1"/>
  <c r="B1733" i="2" a="1"/>
  <c r="C1975" i="2" a="1"/>
  <c r="C772" i="2" a="1"/>
  <c r="C1886" i="2" a="1"/>
  <c r="C853" i="2" a="1"/>
  <c r="B1483" i="2" a="1"/>
  <c r="B1056" i="2" a="1"/>
  <c r="C1614" i="2" a="1"/>
  <c r="B384" i="2" a="1"/>
  <c r="C1113" i="2" a="1"/>
  <c r="C1673" i="2" a="1"/>
  <c r="B1653" i="2" a="1"/>
  <c r="B876" i="2" a="1"/>
  <c r="C750" i="2" a="1"/>
  <c r="B916" i="2" a="1"/>
  <c r="B185" i="2" a="1"/>
  <c r="B695" i="2" a="1"/>
  <c r="B194" i="2" a="1"/>
  <c r="B361" i="2" a="1"/>
  <c r="B1876" i="2" a="1"/>
  <c r="C836" i="2" a="1"/>
  <c r="C249" i="2" a="1"/>
  <c r="B1244" i="2" a="1"/>
  <c r="B562" i="2" a="1"/>
  <c r="C815" i="2" a="1"/>
  <c r="B763" i="2" a="1"/>
  <c r="C1476" i="2" a="1"/>
  <c r="B1658" i="2" a="1"/>
  <c r="B501" i="2" a="1"/>
  <c r="C923" i="2" a="1"/>
  <c r="C1266" i="2" a="1"/>
  <c r="B90" i="2" a="1"/>
  <c r="B1250" i="2" a="1"/>
  <c r="B1613" i="2" a="1"/>
  <c r="B871" i="2" a="1"/>
  <c r="B1635" i="2" a="1"/>
  <c r="B75" i="2" a="1"/>
  <c r="B1852" i="2" a="1"/>
  <c r="B1104" i="2" a="1"/>
  <c r="B1655" i="2" a="1"/>
  <c r="C251" i="2" a="1"/>
  <c r="B1907" i="2" a="1"/>
  <c r="B925" i="2" a="1"/>
  <c r="B1317" i="2" a="1"/>
  <c r="B471" i="2" a="1"/>
  <c r="B1155" i="2" a="1"/>
  <c r="B1075" i="2" a="1"/>
  <c r="C980" i="2" a="1"/>
  <c r="B422" i="2" a="1"/>
  <c r="B660" i="2" a="1"/>
  <c r="B1794" i="2" a="1"/>
  <c r="B1040" i="2" a="1"/>
  <c r="B860" i="2" a="1"/>
  <c r="C1016" i="2" a="1"/>
  <c r="C1316" i="2" a="1"/>
  <c r="C826" i="2" a="1"/>
  <c r="C572" i="2" a="1"/>
  <c r="C891" i="2" a="1"/>
  <c r="B41" i="2" a="1"/>
  <c r="C1323" i="2" a="1"/>
  <c r="B542" i="2" a="1"/>
  <c r="C241" i="2" a="1"/>
  <c r="C1163" i="2" a="1"/>
  <c r="B1338" i="2" a="1"/>
  <c r="B1220" i="2" a="1"/>
  <c r="B1646" i="2" a="1"/>
  <c r="B1295" i="2" a="1"/>
  <c r="C621" i="2" a="1"/>
  <c r="B1037" i="2" a="1"/>
  <c r="B1140" i="2" a="1"/>
  <c r="C1363" i="2" a="1"/>
  <c r="B1667" i="2" a="1"/>
  <c r="C1832" i="2" a="1"/>
  <c r="C444" i="2" a="1"/>
  <c r="C1690" i="2" a="1"/>
  <c r="C1666" i="2" a="1"/>
  <c r="C1865" i="2" a="1"/>
  <c r="C1855" i="2" a="1"/>
  <c r="B1012" i="2" a="1"/>
  <c r="C1092" i="2" a="1"/>
  <c r="C759" i="2" a="1"/>
  <c r="C554" i="2" a="1"/>
  <c r="B1026" i="2" a="1"/>
  <c r="B856" i="2" a="1"/>
  <c r="C1002" i="2" a="1"/>
  <c r="C259" i="2" a="1"/>
  <c r="B390" i="2" a="1"/>
  <c r="C1625" i="2" a="1"/>
  <c r="C1291" i="2" a="1"/>
  <c r="C1060" i="2" a="1"/>
  <c r="C511" i="2" a="1"/>
  <c r="B172" i="2" a="1"/>
  <c r="B809" i="2" a="1"/>
  <c r="B421" i="2" a="1"/>
  <c r="C695" i="2" a="1"/>
  <c r="B1412" i="2" a="1"/>
  <c r="C520" i="2" a="1"/>
  <c r="C1273" i="2" a="1"/>
  <c r="C1143" i="2" a="1"/>
  <c r="B1629" i="2" a="1"/>
  <c r="C1362" i="2" a="1"/>
  <c r="B1485" i="2" a="1"/>
  <c r="B498" i="2" a="1"/>
  <c r="C325" i="2" a="1"/>
  <c r="B1267" i="2" a="1"/>
  <c r="B1627" i="2" a="1"/>
  <c r="B1269" i="2" a="1"/>
  <c r="B735" i="2" a="1"/>
  <c r="B1271" i="2" a="1"/>
  <c r="B977" i="2" a="1"/>
  <c r="B1837" i="2" a="1"/>
  <c r="B1182" i="2" a="1"/>
  <c r="B697" i="2" a="1"/>
  <c r="C243" i="2" a="1"/>
  <c r="B478" i="2" a="1"/>
  <c r="C1285" i="2" a="1"/>
  <c r="C1947" i="2" a="1"/>
  <c r="C1365" i="2" a="1"/>
  <c r="C1194" i="2" a="1"/>
  <c r="B1300" i="2" a="1"/>
  <c r="B143" i="2" a="1"/>
  <c r="C1737" i="2" a="1"/>
  <c r="C339" i="2" a="1"/>
  <c r="C746" i="2" a="1"/>
  <c r="B923" i="2" a="1"/>
  <c r="B864" i="2" a="1"/>
  <c r="C1854" i="2" a="1"/>
  <c r="C594" i="2" a="1"/>
  <c r="B1644" i="2" a="1"/>
  <c r="B1350" i="2" a="1"/>
  <c r="B1021" i="2" a="1"/>
  <c r="B919" i="2" a="1"/>
  <c r="B1277" i="2" a="1"/>
  <c r="C912" i="2" a="1"/>
  <c r="C318" i="2" a="1"/>
  <c r="B1349" i="2" a="1"/>
  <c r="C1683" i="2" a="1"/>
  <c r="C1248" i="2" a="1"/>
  <c r="C799" i="2" a="1"/>
  <c r="C1512" i="2" a="1"/>
  <c r="B1166" i="2" a="1"/>
  <c r="C567" i="2" a="1"/>
  <c r="C1350" i="2" a="1"/>
  <c r="B1930" i="2" a="1"/>
  <c r="C1158" i="2" a="1"/>
  <c r="B162" i="2" a="1"/>
  <c r="B1115" i="2" a="1"/>
  <c r="B1389" i="2" a="1"/>
  <c r="B595" i="2" a="1"/>
  <c r="B1149" i="2" a="1"/>
  <c r="C474" i="2" a="1"/>
  <c r="C922" i="2" a="1"/>
  <c r="C1148" i="2" a="1"/>
  <c r="C606" i="2" a="1"/>
  <c r="B1153" i="2" a="1"/>
  <c r="B882" i="2" a="1"/>
  <c r="C686" i="2" a="1"/>
  <c r="C810" i="2" a="1"/>
  <c r="C1073" i="2" a="1"/>
  <c r="B939" i="2" a="1"/>
  <c r="C1342" i="2" a="1"/>
  <c r="B1780" i="2" a="1"/>
  <c r="B350" i="2" a="1"/>
  <c r="C422" i="2" a="1"/>
  <c r="C438" i="2" a="1"/>
  <c r="C692" i="2" a="1"/>
  <c r="B1367" i="2" a="1"/>
  <c r="C1755" i="2" a="1"/>
  <c r="C1176" i="2" a="1"/>
  <c r="C652" i="2" a="1"/>
  <c r="B382" i="2" a="1"/>
  <c r="C539" i="2" a="1"/>
  <c r="B296" i="2" a="1"/>
  <c r="C368" i="2" a="1"/>
  <c r="C1068" i="2" a="1"/>
  <c r="B479" i="2" a="1"/>
  <c r="C365" i="2" a="1"/>
  <c r="B1602" i="2" a="1"/>
  <c r="B191" i="2" a="1"/>
  <c r="B843" i="2" a="1"/>
  <c r="C1914" i="2" a="1"/>
  <c r="B1854" i="2" a="1"/>
  <c r="C1371" i="2" a="1"/>
  <c r="C159" i="2" a="1"/>
  <c r="C1413" i="2" a="1"/>
  <c r="C1937" i="2" a="1"/>
  <c r="C1058" i="2" a="1"/>
  <c r="C1907" i="2" a="1"/>
  <c r="B1414" i="2" a="1"/>
  <c r="B1433" i="2" a="1"/>
  <c r="B1673" i="2" a="1"/>
  <c r="B866" i="2" a="1"/>
  <c r="C940" i="2" a="1"/>
  <c r="C1931" i="2" a="1"/>
  <c r="B921" i="2" a="1"/>
  <c r="C1527" i="2" a="1"/>
  <c r="B94" i="2" a="1"/>
  <c r="B1504" i="2" a="1"/>
  <c r="B726" i="2" a="1"/>
  <c r="B1796" i="2" a="1"/>
  <c r="C1837" i="2" a="1"/>
  <c r="B1011" i="2" a="1"/>
  <c r="B1297" i="2" a="1"/>
  <c r="B1391" i="2" a="1"/>
  <c r="B332" i="2" a="1"/>
  <c r="C1718" i="2" a="1"/>
  <c r="B1512" i="2" a="1"/>
  <c r="C1178" i="2" a="1"/>
  <c r="C824" i="2" a="1"/>
  <c r="B1219" i="2" a="1"/>
  <c r="B372" i="2" a="1"/>
  <c r="B1502" i="2" a="1"/>
  <c r="C540" i="2" a="1"/>
  <c r="C1062" i="2" a="1"/>
  <c r="B415" i="2" a="1"/>
  <c r="B1645" i="2" a="1"/>
  <c r="B1203" i="2" a="1"/>
  <c r="C739" i="2" a="1"/>
  <c r="B1293" i="2" a="1"/>
  <c r="C1954" i="2" a="1"/>
  <c r="B757" i="2" a="1"/>
  <c r="B743" i="2" a="1"/>
  <c r="B138" i="2" a="1"/>
  <c r="B81" i="2" a="1"/>
  <c r="B1073" i="2" a="1"/>
  <c r="C1651" i="2" a="1"/>
  <c r="B1064" i="2" a="1"/>
  <c r="C840" i="2" a="1"/>
  <c r="C1265" i="2" a="1"/>
  <c r="C544" i="2" a="1"/>
  <c r="C415" i="2" a="1"/>
  <c r="C859" i="2" a="1"/>
  <c r="C1333" i="2" a="1"/>
  <c r="C1359" i="2" a="1"/>
  <c r="B1443" i="2" a="1"/>
  <c r="B1892" i="2" a="1"/>
  <c r="C1861" i="2" a="1"/>
  <c r="C1408" i="2" a="1"/>
  <c r="B1046" i="2" a="1"/>
  <c r="C563" i="2" a="1"/>
  <c r="C948" i="2" a="1"/>
  <c r="C1426" i="2" a="1"/>
  <c r="C1169" i="2" a="1"/>
  <c r="B1588" i="2" a="1"/>
  <c r="B1659" i="2" a="1"/>
  <c r="B684" i="2" a="1"/>
  <c r="B1579" i="2" a="1"/>
  <c r="C1960" i="2" a="1"/>
  <c r="B1272" i="2" a="1"/>
  <c r="C164" i="2" a="1"/>
  <c r="C1244" i="2" a="1"/>
  <c r="C952" i="2" a="1"/>
  <c r="C1923" i="2" a="1"/>
  <c r="C577" i="2" a="1"/>
  <c r="B675" i="2" a="1"/>
  <c r="C708" i="2" a="1"/>
  <c r="C1261" i="2" a="1"/>
  <c r="B1451" i="2" a="1"/>
  <c r="B901" i="2" a="1"/>
  <c r="B1822" i="2" a="1"/>
  <c r="B485" i="2" a="1"/>
  <c r="B1442" i="2" a="1"/>
  <c r="C649" i="2" a="1"/>
  <c r="B1119" i="2" a="1"/>
  <c r="B1435" i="2" a="1"/>
  <c r="B773" i="2" a="1"/>
  <c r="B1235" i="2" a="1"/>
  <c r="C1642" i="2" a="1"/>
  <c r="B118" i="2" a="1"/>
  <c r="B265" i="2" a="1"/>
  <c r="C487" i="2" a="1"/>
  <c r="C1454" i="2" a="1"/>
  <c r="C1401" i="2" a="1"/>
  <c r="C1014" i="2" a="1"/>
  <c r="B1362" i="2" a="1"/>
  <c r="B1817" i="2" a="1"/>
  <c r="B120" i="2" a="1"/>
  <c r="B92" i="2" a="1"/>
  <c r="C1274" i="2" a="1"/>
  <c r="C725" i="2" a="1"/>
  <c r="B268" i="2" a="1"/>
  <c r="C971" i="2" a="1"/>
  <c r="C1530" i="2" a="1"/>
  <c r="C1654" i="2" a="1"/>
  <c r="C865" i="2" a="1"/>
  <c r="B1036" i="2" a="1"/>
  <c r="B1382" i="2" a="1"/>
  <c r="B677" i="2" a="1"/>
  <c r="B1788" i="2" a="1"/>
  <c r="C701" i="2" a="1"/>
  <c r="C1905" i="2" a="1"/>
  <c r="C1895" i="2" a="1"/>
  <c r="C883" i="2" a="1"/>
  <c r="B1195" i="2" a="1"/>
  <c r="B1951" i="2" a="1"/>
  <c r="B301" i="2" a="1"/>
  <c r="C1599" i="2" a="1"/>
  <c r="C1717" i="2" a="1"/>
  <c r="B1334" i="2" a="1"/>
  <c r="C602" i="2" a="1"/>
  <c r="B1508" i="2" a="1"/>
  <c r="C1883" i="2" a="1"/>
  <c r="B42" i="2" a="1"/>
  <c r="B958" i="2" a="1"/>
  <c r="B351" i="2" a="1"/>
  <c r="C345" i="2" a="1"/>
  <c r="B821" i="2" a="1"/>
  <c r="C381" i="2" a="1"/>
  <c r="B279" i="2" a="1"/>
  <c r="C252" i="2" a="1"/>
  <c r="C766" i="2" a="1"/>
  <c r="B135" i="2" a="1"/>
  <c r="C573" i="2" a="1"/>
  <c r="C857" i="2" a="1"/>
  <c r="C1391" i="2" a="1"/>
  <c r="C399" i="2" a="1"/>
  <c r="B1463" i="2" a="1"/>
  <c r="B1656" i="2" a="1"/>
  <c r="B244" i="2" a="1"/>
  <c r="B574" i="2" a="1"/>
  <c r="B1962" i="2" a="1"/>
  <c r="B103" i="2" a="1"/>
  <c r="C1055" i="2" a="1"/>
  <c r="B223" i="2" a="1"/>
  <c r="B829" i="2" a="1"/>
  <c r="C1356" i="2" a="1"/>
  <c r="C1629" i="2" a="1"/>
  <c r="B1333" i="2" a="1"/>
  <c r="C383" i="2" a="1"/>
  <c r="C1852" i="2" a="1"/>
  <c r="C333" i="2" a="1"/>
  <c r="C581" i="2" a="1"/>
  <c r="C1541" i="2" a="1"/>
  <c r="B239" i="2" a="1"/>
  <c r="B1552" i="2" a="1"/>
  <c r="C1612" i="2" a="1"/>
  <c r="C1076" i="2" a="1"/>
  <c r="B1566" i="2" a="1"/>
  <c r="B1906" i="2" a="1"/>
  <c r="B1072" i="2" a="1"/>
  <c r="C624" i="2" a="1"/>
  <c r="C547" i="2" a="1"/>
  <c r="B254" i="2" a="1"/>
  <c r="B6" i="2" a="1"/>
  <c r="B776" i="2" a="1"/>
  <c r="C1381" i="2" a="1"/>
  <c r="B1657" i="2" a="1"/>
  <c r="C1781" i="2" a="1"/>
  <c r="C1927" i="2" a="1"/>
  <c r="B651" i="2" a="1"/>
  <c r="C538" i="2" a="1"/>
  <c r="B410" i="2" a="1"/>
  <c r="B72" i="2" a="1"/>
  <c r="B486" i="2" a="1"/>
  <c r="B628" i="2" a="1"/>
  <c r="C1012" i="2" a="1"/>
  <c r="C1039" i="2" a="1"/>
  <c r="C575" i="2" a="1"/>
  <c r="C710" i="2" a="1"/>
  <c r="B21" i="2" a="1"/>
  <c r="C1086" i="2" a="1"/>
  <c r="B987" i="2" a="1"/>
  <c r="B383" i="2" a="1"/>
  <c r="B1431" i="2" a="1"/>
  <c r="B1189" i="2" a="1"/>
  <c r="B1470" i="2" a="1"/>
  <c r="B914" i="2" a="1"/>
  <c r="B667" i="2" a="1"/>
  <c r="C1592" i="2" a="1"/>
  <c r="B1643" i="2" a="1"/>
  <c r="C1161" i="2" a="1"/>
  <c r="C1412" i="2" a="1"/>
  <c r="C543" i="2" a="1"/>
  <c r="B37" i="2" a="1"/>
  <c r="C1716" i="2" a="1"/>
  <c r="B581" i="2" a="1"/>
  <c r="B1841" i="2" a="1"/>
  <c r="C622" i="2" a="1"/>
  <c r="B853" i="2" a="1"/>
  <c r="B548" i="2" a="1"/>
  <c r="C1771" i="2" a="1"/>
  <c r="B975" i="2" a="1"/>
  <c r="C1133" i="2" a="1"/>
  <c r="C341" i="2" a="1"/>
  <c r="C1825" i="2" a="1"/>
  <c r="C741" i="2" a="1"/>
  <c r="C1185" i="2" a="1"/>
  <c r="B545" i="2" a="1"/>
  <c r="C669" i="2" a="1"/>
  <c r="B46" i="2" a="1"/>
  <c r="C1437" i="2" a="1"/>
  <c r="B1927" i="2" a="1"/>
  <c r="C615" i="2" a="1"/>
  <c r="C932" i="2" a="1"/>
  <c r="C386" i="2" a="1"/>
  <c r="B179" i="2" a="1"/>
  <c r="C1028" i="2" a="1"/>
  <c r="C1641" i="2" a="1"/>
  <c r="C1473" i="2" a="1"/>
  <c r="B888" i="2" a="1"/>
  <c r="B1477" i="2" a="1"/>
  <c r="C828" i="2" a="1"/>
  <c r="C1648" i="2" a="1"/>
  <c r="B1341" i="2" a="1"/>
  <c r="B934" i="2" a="1"/>
  <c r="C1065" i="2" a="1"/>
  <c r="C678" i="2" a="1"/>
  <c r="B1540" i="2" a="1"/>
  <c r="B1558" i="2" a="1"/>
  <c r="C1427" i="2" a="1"/>
  <c r="B1947" i="2" a="1"/>
  <c r="C1703" i="2" a="1"/>
  <c r="C276" i="2" a="1"/>
  <c r="B885" i="2" a="1"/>
  <c r="B1408" i="2" a="1"/>
  <c r="B1534" i="2" a="1"/>
  <c r="B1456" i="2" a="1"/>
  <c r="B499" i="2" a="1"/>
  <c r="B28" i="2" a="1"/>
  <c r="B768" i="2" a="1"/>
  <c r="B39" i="2" a="1"/>
  <c r="B1615" i="2" a="1"/>
  <c r="B979" i="2" a="1"/>
  <c r="B505" i="2" a="1"/>
  <c r="C1686" i="2" a="1"/>
  <c r="C514" i="2" a="1"/>
  <c r="B641" i="2" a="1"/>
  <c r="C1572" i="2" a="1"/>
  <c r="B678" i="2" a="1"/>
  <c r="C463" i="2" a="1"/>
  <c r="B1727" i="2" a="1"/>
  <c r="B1745" i="2" a="1"/>
  <c r="B982" i="2" a="1"/>
  <c r="C964" i="2" a="1"/>
  <c r="B259" i="2" a="1"/>
  <c r="B893" i="2" a="1"/>
  <c r="B1448" i="2" a="1"/>
  <c r="C837" i="2" a="1"/>
  <c r="B232" i="2" a="1"/>
  <c r="C1460" i="2" a="1"/>
  <c r="B1345" i="2" a="1"/>
  <c r="B1901" i="2" a="1"/>
  <c r="C1627" i="2" a="1"/>
  <c r="C1475" i="2" a="1"/>
  <c r="C1574" i="2" a="1"/>
  <c r="B38" i="2" a="1"/>
  <c r="C1759" i="2" a="1"/>
  <c r="B1337" i="2" a="1"/>
  <c r="C1516" i="2" a="1"/>
  <c r="C1431" i="2" a="1"/>
  <c r="C404" i="2" a="1"/>
  <c r="C1160" i="2" a="1"/>
  <c r="B490" i="2" a="1"/>
  <c r="C545" i="2" a="1"/>
  <c r="C1610" i="2" a="1"/>
  <c r="C1859" i="2" a="1"/>
  <c r="C819" i="2" a="1"/>
  <c r="C1388" i="2" a="1"/>
  <c r="C1093" i="2" a="1"/>
  <c r="C988" i="2" a="1"/>
  <c r="C1361" i="2" a="1"/>
  <c r="B1748" i="2" a="1"/>
  <c r="B1197" i="2" a="1"/>
  <c r="B313" i="2" a="1"/>
  <c r="B1833" i="2" a="1"/>
  <c r="B1810" i="2" a="1"/>
  <c r="C1370" i="2" a="1"/>
  <c r="C723" i="2" a="1"/>
  <c r="C255" i="2" a="1"/>
  <c r="C765" i="2" a="1"/>
  <c r="B1154" i="2" a="1"/>
  <c r="B508" i="2" a="1"/>
  <c r="B1929" i="2" a="1"/>
  <c r="B407" i="2" a="1"/>
  <c r="C256" i="2" a="1"/>
  <c r="B8" i="2" a="1"/>
  <c r="C1509" i="2" a="1"/>
  <c r="B602" i="2" a="1"/>
  <c r="C1331" i="2" a="1"/>
  <c r="B1422" i="2" a="1"/>
  <c r="B393" i="2" a="1"/>
  <c r="C1405" i="2" a="1"/>
  <c r="C320" i="2" a="1"/>
  <c r="C1640" i="2" a="1"/>
  <c r="C990" i="2" a="1"/>
  <c r="B962" i="2" a="1"/>
  <c r="B1001" i="2" a="1"/>
  <c r="C714" i="2" a="1"/>
  <c r="C277" i="2" a="1"/>
  <c r="C1932" i="2" a="1"/>
  <c r="B1516" i="2" a="1"/>
  <c r="B1756" i="2" a="1"/>
  <c r="B1708" i="2" a="1"/>
  <c r="B1022" i="2" a="1"/>
  <c r="C426" i="2" a="1"/>
  <c r="C798" i="2" a="1"/>
  <c r="B1741" i="2" a="1"/>
  <c r="C1480" i="2" a="1"/>
  <c r="B873" i="2" a="1"/>
  <c r="C235" i="2" a="1"/>
  <c r="B1872" i="2" a="1"/>
  <c r="C1806" i="2" a="1"/>
  <c r="B36" i="2" a="1"/>
  <c r="B1805" i="2" a="1"/>
  <c r="C1269" i="2" a="1"/>
  <c r="B1402" i="2" a="1"/>
  <c r="B178" i="2" a="1"/>
  <c r="C441" i="2" a="1"/>
  <c r="B473" i="2" a="1"/>
  <c r="B986" i="2" a="1"/>
  <c r="B24" i="2" a="1"/>
  <c r="B1329" i="2" a="1"/>
  <c r="B1208" i="2" a="1"/>
  <c r="B587" i="2" a="1"/>
  <c r="B132" i="2" a="1"/>
  <c r="C335" i="2" a="1"/>
  <c r="C1888" i="2" a="1"/>
  <c r="C1439" i="2" a="1"/>
  <c r="B1543" i="2" a="1"/>
  <c r="B1460" i="2" a="1"/>
  <c r="C237" i="2" a="1"/>
  <c r="B1294" i="2" a="1"/>
  <c r="C1314" i="2" a="1"/>
  <c r="B1675" i="2" a="1"/>
  <c r="C984" i="2" a="1"/>
  <c r="B73" i="2" a="1"/>
  <c r="C228" i="2" a="1"/>
  <c r="C1112" i="2" a="1"/>
  <c r="B1824" i="2" a="1"/>
  <c r="C407" i="2" a="1"/>
  <c r="C1254" i="2" a="1"/>
  <c r="B1452" i="2" a="1"/>
  <c r="B1826" i="2" a="1"/>
  <c r="C1513" i="2" a="1"/>
  <c r="B1865" i="2" a="1"/>
  <c r="B530" i="2" a="1"/>
  <c r="B1211" i="2" a="1"/>
  <c r="B209" i="2" a="1"/>
  <c r="C1223" i="2" a="1"/>
  <c r="B1005" i="2" a="1"/>
  <c r="C1406" i="2" a="1"/>
  <c r="C644" i="2" a="1"/>
  <c r="C409" i="2" a="1"/>
  <c r="C767" i="2" a="1"/>
  <c r="B1055" i="2" a="1"/>
  <c r="C724" i="2" a="1"/>
  <c r="B1279" i="2" a="1"/>
  <c r="C371" i="2" a="1"/>
  <c r="C636" i="2" a="1"/>
  <c r="B900" i="2" a="1"/>
  <c r="C473" i="2" a="1"/>
  <c r="C340" i="2" a="1"/>
  <c r="B1145" i="2" a="1"/>
  <c r="B1318" i="2" a="1"/>
  <c r="C1622" i="2" a="1"/>
  <c r="B33" i="2" a="1"/>
  <c r="C1758" i="2" a="1"/>
  <c r="C586" i="2" a="1"/>
  <c r="B57" i="2" a="1"/>
  <c r="B674" i="2" a="1"/>
  <c r="C928" i="2" a="1"/>
  <c r="B1956" i="2" a="1"/>
  <c r="C1288" i="2" a="1"/>
  <c r="B1385" i="2" a="1"/>
  <c r="B552" i="2" a="1"/>
  <c r="B1535" i="2" a="1"/>
  <c r="C1877" i="2" a="1"/>
  <c r="C1383" i="2" a="1"/>
  <c r="B76" i="2" a="1"/>
  <c r="C829" i="2" a="1"/>
  <c r="B1298" i="2" a="1"/>
  <c r="B786" i="2" a="1"/>
  <c r="B802" i="2" a="1"/>
  <c r="C1366" i="2" a="1"/>
  <c r="C839" i="2" a="1"/>
  <c r="C776" i="2" a="1"/>
  <c r="B1856" i="2" a="1"/>
  <c r="B872" i="2" a="1"/>
  <c r="B1347" i="2" a="1"/>
  <c r="B126" i="2" a="1"/>
  <c r="B1308" i="2" a="1"/>
  <c r="B1109" i="2" a="1"/>
  <c r="C648" i="2" a="1"/>
  <c r="C983" i="2" a="1"/>
  <c r="C1036" i="2" a="1"/>
  <c r="B1035" i="2" a="1"/>
  <c r="B1808" i="2" a="1"/>
  <c r="B1082" i="2" a="1"/>
  <c r="C1893" i="2" a="1"/>
  <c r="C434" i="2" a="1"/>
  <c r="C610" i="2" a="1"/>
  <c r="C531" i="2" a="1"/>
  <c r="B283" i="2" a="1"/>
  <c r="B272" i="2" a="1"/>
  <c r="B933" i="2" a="1"/>
  <c r="C1812" i="2" a="1"/>
  <c r="C1420" i="2" a="1"/>
  <c r="C1301" i="2" a="1"/>
  <c r="C167" i="2" a="1"/>
  <c r="B357" i="2" a="1"/>
  <c r="B1914" i="2" a="1"/>
  <c r="C818" i="2" a="1"/>
  <c r="B729" i="2" a="1"/>
  <c r="B1913" i="2" a="1"/>
  <c r="C475" i="2" a="1"/>
  <c r="C1317" i="2" a="1"/>
  <c r="B669" i="2" a="1"/>
  <c r="B1260" i="2" a="1"/>
  <c r="B1736" i="2" a="1"/>
  <c r="C363" i="2" a="1"/>
  <c r="B161" i="2" a="1"/>
  <c r="C631" i="2" a="1"/>
  <c r="C1779" i="2" a="1"/>
  <c r="B1379" i="2" a="1"/>
  <c r="C1165" i="2" a="1"/>
  <c r="B440" i="2" a="1"/>
  <c r="B123" i="2" a="1"/>
  <c r="C1942" i="2" a="1"/>
  <c r="C518" i="2" a="1"/>
  <c r="B1587" i="2" a="1"/>
  <c r="B1246" i="2" a="1"/>
  <c r="B1636" i="2" a="1"/>
  <c r="B1240" i="2" a="1"/>
  <c r="B1971" i="2" a="1"/>
  <c r="B192" i="2" a="1"/>
  <c r="B319" i="2" a="1"/>
  <c r="C1659" i="2" a="1"/>
  <c r="B571" i="2" a="1"/>
  <c r="B1223" i="2" a="1"/>
  <c r="B1674" i="2" a="1"/>
  <c r="B886" i="2" a="1"/>
  <c r="C476" i="2" a="1"/>
  <c r="C447" i="2" a="1"/>
  <c r="B1326" i="2" a="1"/>
  <c r="C1008" i="2" a="1"/>
  <c r="C986" i="2" a="1"/>
  <c r="C992" i="2" a="1"/>
  <c r="B1577" i="2" a="1"/>
  <c r="C1617" i="2" a="1"/>
  <c r="B235" i="2" a="1"/>
  <c r="C1450" i="2" a="1"/>
  <c r="C1003" i="2" a="1"/>
  <c r="C1080" i="2" a="1"/>
  <c r="B437" i="2" a="1"/>
  <c r="C768" i="2" a="1"/>
  <c r="B205" i="2" a="1"/>
  <c r="C1128" i="2" a="1"/>
  <c r="C1404" i="2" a="1"/>
  <c r="C1320" i="2" a="1"/>
  <c r="B349" i="2" a="1"/>
  <c r="B1253" i="2" a="1"/>
  <c r="C387" i="2" a="1"/>
  <c r="B978" i="2" a="1"/>
  <c r="C1446" i="2" a="1"/>
  <c r="C921" i="2" a="1"/>
  <c r="C1731" i="2" a="1"/>
  <c r="C941" i="2" a="1"/>
  <c r="C806" i="2" a="1"/>
  <c r="B578" i="2" a="1"/>
  <c r="B1734" i="2" a="1"/>
  <c r="B993" i="2" a="1"/>
  <c r="B1221" i="2" a="1"/>
  <c r="B1501" i="2" a="1"/>
  <c r="B1575" i="2" a="1"/>
  <c r="C360" i="2" a="1"/>
  <c r="C748" i="2" a="1"/>
  <c r="C507" i="2" a="1"/>
  <c r="B806" i="2" a="1"/>
  <c r="B381" i="2" a="1"/>
  <c r="B1292" i="2" a="1"/>
  <c r="B359" i="2" a="1"/>
  <c r="C1235" i="2" a="1"/>
  <c r="B691" i="2" a="1"/>
  <c r="C963" i="2" a="1"/>
  <c r="B442" i="2" a="1"/>
  <c r="C1844" i="2" a="1"/>
  <c r="C1414" i="2" a="1"/>
  <c r="B1702" i="2" a="1"/>
  <c r="B887" i="2" a="1"/>
  <c r="B1000" i="2" a="1"/>
  <c r="C1950" i="2" a="1"/>
  <c r="C311" i="2" a="1"/>
  <c r="C316" i="2" a="1"/>
  <c r="C1564" i="2" a="1"/>
  <c r="C1929" i="2" a="1"/>
  <c r="C1463" i="2" a="1"/>
  <c r="B1538" i="2" a="1"/>
  <c r="C349" i="2" a="1"/>
  <c r="B1020" i="2" a="1"/>
  <c r="B551" i="2" a="1"/>
  <c r="C1200" i="2" a="1"/>
  <c r="C1613" i="2" a="1"/>
  <c r="B1314" i="2" a="1"/>
  <c r="B1580" i="2" a="1"/>
  <c r="C1118" i="2" a="1"/>
  <c r="B718" i="2" a="1"/>
  <c r="C421" i="2" a="1"/>
  <c r="B643" i="2" a="1"/>
  <c r="C1238" i="2" a="1"/>
  <c r="C1915" i="2" a="1"/>
  <c r="B1968" i="2" a="1"/>
  <c r="C1295" i="2" a="1"/>
  <c r="B589" i="2" a="1"/>
  <c r="B447" i="2" a="1"/>
  <c r="C1416" i="2" a="1"/>
  <c r="B810" i="2" a="1"/>
  <c r="B744" i="2" a="1"/>
  <c r="B895" i="2" a="1"/>
  <c r="B1647" i="2" a="1"/>
  <c r="C845" i="2" a="1"/>
  <c r="C844" i="2" a="1"/>
  <c r="B1471" i="2" a="1"/>
  <c r="B297" i="2" a="1"/>
  <c r="C727" i="2" a="1"/>
  <c r="B1290" i="2" a="1"/>
  <c r="C797" i="2" a="1"/>
  <c r="C1142" i="2" a="1"/>
  <c r="B1807" i="2" a="1"/>
  <c r="C467" i="2" a="1"/>
  <c r="C580" i="2" a="1"/>
  <c r="B1920" i="2" a="1"/>
  <c r="C1104" i="2" a="1"/>
  <c r="B1164" i="2" a="1"/>
  <c r="B1129" i="2" a="1"/>
  <c r="B1836" i="2" a="1"/>
  <c r="B797" i="2" a="1"/>
  <c r="C1974" i="2" a="1"/>
  <c r="B4" i="2" a="1"/>
  <c r="B1093" i="2" a="1"/>
  <c r="B840" i="2" a="1"/>
  <c r="C516" i="2" a="1"/>
  <c r="C931" i="2" a="1"/>
  <c r="B316" i="2" a="1"/>
  <c r="C468" i="2" a="1"/>
  <c r="B1274" i="2" a="1"/>
  <c r="B1564" i="2" a="1"/>
  <c r="B1670" i="2" a="1"/>
  <c r="B1840" i="2" a="1"/>
  <c r="B1709" i="2" a="1"/>
  <c r="B1524" i="2" a="1"/>
  <c r="C667" i="2" a="1"/>
  <c r="B1372" i="2" a="1"/>
  <c r="C236" i="2" a="1"/>
  <c r="C1778" i="2" a="1"/>
  <c r="B275" i="2" a="1"/>
  <c r="C696" i="2" a="1"/>
  <c r="C1105" i="2" a="1"/>
  <c r="C1800" i="2" a="1"/>
  <c r="C871" i="2" a="1"/>
  <c r="B1342" i="2" a="1"/>
  <c r="C906" i="2" a="1"/>
  <c r="B1466" i="2" a="1"/>
  <c r="B147" i="2" a="1"/>
  <c r="B306" i="2" a="1"/>
  <c r="B348" i="2" a="1"/>
  <c r="C1965" i="2" a="1"/>
  <c r="B1287" i="2" a="1"/>
  <c r="B1340" i="2" a="1"/>
  <c r="B424" i="2" a="1"/>
  <c r="C592" i="2" a="1"/>
  <c r="C1186" i="2" a="1"/>
  <c r="B946" i="2" a="1"/>
  <c r="C1297" i="2" a="1"/>
  <c r="C673" i="2" a="1"/>
  <c r="B1509" i="2" a="1"/>
  <c r="C290" i="2" a="1"/>
  <c r="C1206" i="2" a="1"/>
  <c r="B1779" i="2" a="1"/>
  <c r="C427" i="2" a="1"/>
  <c r="B56" i="2" a="1"/>
  <c r="B1052" i="2" a="1"/>
  <c r="C1714" i="2" a="1"/>
  <c r="C1924" i="2" a="1"/>
  <c r="C437" i="2" a="1"/>
  <c r="C879" i="2" a="1"/>
  <c r="B859" i="2" a="1"/>
  <c r="B339" i="2" a="1"/>
  <c r="C1124" i="2" a="1"/>
  <c r="C1470" i="2" a="1"/>
  <c r="C745" i="2" a="1"/>
  <c r="B1547" i="2" a="1"/>
  <c r="B1284" i="2" a="1"/>
  <c r="C356" i="2" a="1"/>
  <c r="C1035" i="2" a="1"/>
  <c r="B1480" i="2" a="1"/>
  <c r="C1484" i="2" a="1"/>
  <c r="B1265" i="2" a="1"/>
  <c r="C775" i="2" a="1"/>
  <c r="C433" i="2" a="1"/>
  <c r="C1897" i="2" a="1"/>
  <c r="C754" i="2" a="1"/>
  <c r="B790" i="2" a="1"/>
  <c r="C969" i="2" a="1"/>
  <c r="B865" i="2" a="1"/>
  <c r="B845" i="2" a="1"/>
  <c r="B547" i="2" a="1"/>
  <c r="B394" i="2" a="1"/>
  <c r="B257" i="2" a="1"/>
  <c r="C541" i="2" a="1"/>
  <c r="C1368" i="2" a="1"/>
  <c r="B611" i="2" a="1"/>
  <c r="B1544" i="2" a="1"/>
  <c r="B1584" i="2" a="1"/>
  <c r="B681" i="2" a="1"/>
  <c r="C1698" i="2" a="1"/>
  <c r="B338" i="2" a="1"/>
  <c r="B1618" i="2" a="1"/>
  <c r="C1970" i="2" a="1"/>
  <c r="C449" i="2" a="1"/>
  <c r="B1156" i="2" a="1"/>
  <c r="B676" i="2" a="1"/>
  <c r="B769" i="2" a="1"/>
  <c r="B974" i="2" a="1"/>
  <c r="B710" i="2" a="1"/>
  <c r="C691" i="2" a="1"/>
  <c r="B738" i="2" a="1"/>
  <c r="B1238" i="2" a="1"/>
  <c r="C1518" i="2" a="1"/>
  <c r="B941" i="2" a="1"/>
  <c r="C275" i="2" a="1"/>
  <c r="C1656" i="2" a="1"/>
  <c r="C414" i="2" a="1"/>
  <c r="B389" i="2" a="1"/>
  <c r="B1698" i="2" a="1"/>
  <c r="C950" i="2" a="1"/>
  <c r="C590" i="2" a="1"/>
  <c r="C279" i="2" a="1"/>
  <c r="C1281" i="2" a="1"/>
  <c r="B740" i="2" a="1"/>
  <c r="B1285" i="2" a="1"/>
  <c r="B307" i="2" a="1"/>
  <c r="B1857" i="2" a="1"/>
  <c r="C234" i="2" a="1"/>
  <c r="C1632" i="2" a="1"/>
  <c r="B1309" i="2" a="1"/>
  <c r="B696" i="2" a="1"/>
  <c r="B133" i="2" a="1"/>
  <c r="B1581" i="2" a="1"/>
  <c r="C413" i="2" a="1"/>
  <c r="C462" i="2" a="1"/>
  <c r="B207" i="2" a="1"/>
  <c r="B563" i="2" a="1"/>
  <c r="C1004" i="2" a="1"/>
  <c r="C1596" i="2" a="1"/>
  <c r="C660" i="2" a="1"/>
  <c r="C595" i="2" a="1"/>
  <c r="C503" i="2" a="1"/>
  <c r="C1157" i="2" a="1"/>
  <c r="C905" i="2" a="1"/>
  <c r="C521" i="2" a="1"/>
  <c r="C273" i="2" a="1"/>
  <c r="C1911" i="2" a="1"/>
  <c r="C374" i="2" a="1"/>
  <c r="B260" i="2" a="1"/>
  <c r="C1026" i="2" a="1"/>
  <c r="B1137" i="2" a="1"/>
  <c r="C233" i="2" a="1"/>
  <c r="B932" i="2" a="1"/>
  <c r="C1892" i="2" a="1"/>
  <c r="C254" i="2" a="1"/>
  <c r="C1532" i="2" a="1"/>
  <c r="B362" i="2" a="1"/>
  <c r="C1909" i="2" a="1"/>
  <c r="B1948" i="2" a="1"/>
  <c r="B25" i="2" a="1"/>
  <c r="C629" i="2" a="1"/>
  <c r="B353" i="2" a="1"/>
  <c r="C1349" i="2" a="1"/>
  <c r="B1931" i="2" a="1"/>
  <c r="C248" i="2" a="1"/>
  <c r="B745" i="2" a="1"/>
  <c r="B449" i="2" a="1"/>
  <c r="B1355" i="2" a="1"/>
  <c r="C1933" i="2" a="1"/>
  <c r="B1007" i="2" a="1"/>
  <c r="C863" i="2" a="1"/>
  <c r="B580" i="2" a="1"/>
  <c r="B467" i="2" a="1"/>
  <c r="B546" i="2" a="1"/>
  <c r="B1336" i="2" a="1"/>
  <c r="B203" i="2" a="1"/>
  <c r="C778" i="2" a="1"/>
  <c r="B182" i="2" a="1"/>
  <c r="C1537" i="2" a="1"/>
  <c r="C1010" i="2" a="1"/>
  <c r="B1357" i="2" a="1"/>
  <c r="B1325" i="2" a="1"/>
  <c r="C397" i="2" a="1"/>
  <c r="B1193" i="2" a="1"/>
  <c r="B1151" i="2" a="1"/>
  <c r="C1815" i="2" a="1"/>
  <c r="B1662" i="2" a="1"/>
  <c r="B969" i="2" a="1"/>
  <c r="C323" i="2" a="1"/>
  <c r="B111" i="2" a="1"/>
  <c r="B354" i="2" a="1"/>
  <c r="C635" i="2" a="1"/>
  <c r="C609" i="2" a="1"/>
  <c r="C384" i="2" a="1"/>
  <c r="B131" i="2" a="1"/>
  <c r="B1126" i="2" a="1"/>
  <c r="C1136" i="2" a="1"/>
  <c r="B163" i="2" a="1"/>
  <c r="B1749" i="2" a="1"/>
  <c r="C287" i="2" a="1"/>
  <c r="C1399" i="2" a="1"/>
  <c r="C1025" i="2" a="1"/>
  <c r="C1471" i="2" a="1"/>
  <c r="B1447" i="2" a="1"/>
  <c r="C1788" i="2" a="1"/>
  <c r="B644" i="2" a="1"/>
  <c r="B251" i="2" a="1"/>
  <c r="C1963" i="2" a="1"/>
  <c r="C1795" i="2" a="1"/>
  <c r="B661" i="2" a="1"/>
  <c r="C1162" i="2" a="1"/>
  <c r="C358" i="2" a="1"/>
  <c r="B9" i="2" a="1"/>
  <c r="C1582" i="2" a="1"/>
  <c r="B1864" i="2" a="1"/>
  <c r="C1486" i="2" a="1"/>
  <c r="C1398" i="2" a="1"/>
  <c r="C693" i="2" a="1"/>
  <c r="B385" i="2" a="1"/>
  <c r="B1275" i="2" a="1"/>
  <c r="B318" i="2" a="1"/>
  <c r="B87" i="2" a="1"/>
  <c r="C834" i="2" a="1"/>
  <c r="C731" i="2" a="1"/>
  <c r="C760" i="2" a="1"/>
  <c r="C1904" i="2" a="1"/>
  <c r="C1462" i="2" a="1"/>
  <c r="B1310" i="2" a="1"/>
  <c r="B898" i="2" a="1"/>
  <c r="B1330" i="2" a="1"/>
  <c r="B1113" i="2" a="1"/>
  <c r="C1908" i="2" a="1"/>
  <c r="B129" i="2" a="1"/>
  <c r="B430" i="2" a="1"/>
  <c r="C1636" i="2" a="1"/>
  <c r="C245" i="2" a="1"/>
  <c r="B736" i="2" a="1"/>
  <c r="B53" i="2" a="1"/>
  <c r="C1556" i="2" a="1"/>
  <c r="C1575" i="2" a="1"/>
  <c r="C885" i="2" a="1"/>
  <c r="C1456" i="2" a="1"/>
  <c r="C1887" i="2" a="1"/>
  <c r="C1170" i="2" a="1"/>
  <c r="B1003" i="2" a="1"/>
  <c r="C1226" i="2" a="1"/>
  <c r="B7" i="2" a="1"/>
  <c r="B561" i="2" a="1"/>
  <c r="C435" i="2" a="1"/>
  <c r="B500" i="2" a="1"/>
  <c r="C310" i="2" a="1"/>
  <c r="B367" i="2" a="1"/>
  <c r="B951" i="2" a="1"/>
  <c r="C1492" i="2" a="1"/>
  <c r="C1250" i="2" a="1"/>
  <c r="C362" i="2" a="1"/>
  <c r="C456" i="2" a="1"/>
  <c r="B1695" i="2" a="1"/>
  <c r="C771" i="2" a="1"/>
  <c r="C1618" i="2" a="1"/>
  <c r="C780" i="2" a="1"/>
  <c r="B609" i="2" a="1"/>
  <c r="B724" i="2" a="1"/>
  <c r="B883" i="2" a="1"/>
  <c r="C1644" i="2" a="1"/>
  <c r="B1289" i="2" a="1"/>
  <c r="B1496" i="2" a="1"/>
  <c r="C1423" i="2" a="1"/>
  <c r="B1439" i="2" a="1"/>
  <c r="C1745" i="2" a="1"/>
  <c r="B712" i="2" a="1"/>
  <c r="C425" i="2" a="1"/>
  <c r="C1448" i="2" a="1"/>
  <c r="B1603" i="2" a="1"/>
  <c r="B575" i="2" a="1"/>
  <c r="B1612" i="2" a="1"/>
  <c r="B1850" i="2" a="1"/>
  <c r="B1729" i="2" a="1"/>
  <c r="C1519" i="2" a="1"/>
  <c r="C1043" i="2" a="1"/>
  <c r="B1132" i="2" a="1"/>
  <c r="B536" i="2" a="1"/>
  <c r="B848" i="2" a="1"/>
  <c r="C1727" i="2" a="1"/>
  <c r="B376" i="2" a="1"/>
  <c r="C1687" i="2" a="1"/>
  <c r="B446" i="2" a="1"/>
  <c r="C1523" i="2" a="1"/>
  <c r="B952" i="2" a="1"/>
  <c r="B1730" i="2" a="1"/>
  <c r="C1594" i="2" a="1"/>
  <c r="B493" i="2" a="1"/>
  <c r="B666" i="2" a="1"/>
  <c r="B255" i="2" a="1"/>
  <c r="B682" i="2" a="1"/>
  <c r="B1076" i="2" a="1"/>
  <c r="C1459" i="2" a="1"/>
  <c r="B413" i="2" a="1"/>
  <c r="B256" i="2" a="1"/>
  <c r="B976" i="2" a="1"/>
  <c r="B1739" i="2" a="1"/>
  <c r="C1326" i="2" a="1"/>
  <c r="B1472" i="2" a="1"/>
  <c r="B1687" i="2" a="1"/>
  <c r="C1730" i="2" a="1"/>
  <c r="B920" i="2" a="1"/>
  <c r="C664" i="2" a="1"/>
  <c r="C1593" i="2" a="1"/>
  <c r="C1417" i="2" a="1"/>
  <c r="C1308" i="2" a="1"/>
  <c r="C683" i="2" a="1"/>
  <c r="C1591" i="2" a="1"/>
  <c r="C1637" i="2" a="1"/>
  <c r="B1147" i="2" a="1"/>
  <c r="C1415" i="2" a="1"/>
  <c r="C1324" i="2" a="1"/>
  <c r="C1019" i="2" a="1"/>
  <c r="B1191" i="2" a="1"/>
  <c r="B822" i="2" a="1"/>
  <c r="C1916" i="2" a="1"/>
  <c r="C1296" i="2" a="1"/>
  <c r="C1228" i="2" a="1"/>
  <c r="C282" i="2" a="1"/>
  <c r="C1808" i="2" a="1"/>
  <c r="B347" i="2" a="1"/>
  <c r="C999" i="2" a="1"/>
  <c r="C1438" i="2" a="1"/>
  <c r="B1444" i="2" a="1"/>
  <c r="C1015" i="2" a="1"/>
  <c r="B291" i="2" a="1"/>
  <c r="C1938" i="2" a="1"/>
  <c r="B612" i="2" a="1"/>
  <c r="B553" i="2" a="1"/>
  <c r="B327" i="2" a="1"/>
  <c r="B95" i="2" a="1"/>
  <c r="B554" i="2" a="1"/>
  <c r="B835" i="2" a="1"/>
  <c r="C687" i="2" a="1"/>
  <c r="C1941" i="2" a="1"/>
  <c r="C1227" i="2" a="1"/>
  <c r="B1847" i="2" a="1"/>
  <c r="B237" i="2" a="1"/>
  <c r="C1340" i="2" a="1"/>
  <c r="B206" i="2" a="1"/>
  <c r="B516" i="2" a="1"/>
  <c r="B1286" i="2" a="1"/>
  <c r="C1479" i="2" a="1"/>
  <c r="C1736" i="2" a="1"/>
  <c r="C1769" i="2" a="1"/>
  <c r="B1102" i="2" a="1"/>
  <c r="B1772" i="2" a="1"/>
  <c r="B1134" i="2" a="1"/>
  <c r="B1942" i="2" a="1"/>
  <c r="B441" i="2" a="1"/>
  <c r="B714" i="2" a="1"/>
  <c r="C801" i="2" a="1"/>
  <c r="B1820" i="2" a="1"/>
  <c r="B1590" i="2" a="1"/>
  <c r="B1551" i="2" a="1"/>
  <c r="B483" i="2" a="1"/>
  <c r="C773" i="2" a="1"/>
  <c r="B594" i="2" a="1"/>
  <c r="C1935" i="2" a="1"/>
  <c r="C350" i="2" a="1"/>
  <c r="B646" i="2" a="1"/>
  <c r="C1090" i="2" a="1"/>
  <c r="B624" i="2" a="1"/>
  <c r="B685" i="2" a="1"/>
  <c r="B403" i="2" a="1"/>
  <c r="B963" i="2" a="1"/>
  <c r="C423" i="2" a="1"/>
  <c r="C505" i="2" a="1"/>
  <c r="C1958" i="2" a="1"/>
  <c r="C1756" i="2" a="1"/>
  <c r="B1159" i="2" a="1"/>
  <c r="C1546" i="2" a="1"/>
  <c r="C1418" i="2" a="1"/>
  <c r="B777" i="2" a="1"/>
  <c r="C919" i="2" a="1"/>
  <c r="C1247" i="2" a="1"/>
  <c r="C946" i="2" a="1"/>
  <c r="B253" i="2" a="1"/>
  <c r="C944" i="2" a="1"/>
  <c r="B294" i="2" a="1"/>
  <c r="C1682" i="2" a="1"/>
  <c r="C1794" i="2" a="1"/>
  <c r="B99" i="2" a="1"/>
  <c r="B1898" i="2" a="1"/>
  <c r="C785" i="2" a="1"/>
  <c r="B1776" i="2" a="1"/>
  <c r="C526" i="2" a="1"/>
  <c r="B1571" i="2" a="1"/>
  <c r="C1100" i="2" a="1"/>
  <c r="C1567" i="2" a="1"/>
  <c r="B1620" i="2" a="1"/>
  <c r="B249" i="2" a="1"/>
  <c r="B796" i="2" a="1"/>
  <c r="B11" i="2" a="1"/>
  <c r="B195" i="2" a="1"/>
  <c r="B1083" i="2" a="1"/>
  <c r="C258" i="2" a="1"/>
  <c r="C448" i="2" a="1"/>
  <c r="B1445" i="2" a="1"/>
  <c r="C965" i="2" a="1"/>
  <c r="B1701" i="2" a="1"/>
  <c r="C1175" i="2" a="1"/>
  <c r="B668" i="2" a="1"/>
  <c r="B511" i="2" a="1"/>
  <c r="C807" i="2" a="1"/>
  <c r="B642" i="2" a="1"/>
  <c r="B535" i="2" a="1"/>
  <c r="C1153" i="2" a="1"/>
  <c r="C1395" i="2" a="1"/>
  <c r="B32" i="2" a="1"/>
  <c r="C562" i="2" a="1"/>
  <c r="C1495" i="2" a="1"/>
  <c r="B116" i="2" a="1"/>
  <c r="C584" i="2" a="1"/>
  <c r="C420" i="2" a="1"/>
  <c r="B400" i="2" a="1"/>
  <c r="C732" i="2" a="1"/>
  <c r="C1721" i="2" a="1"/>
  <c r="B187" i="2" a="1"/>
  <c r="C578" i="2" a="1"/>
  <c r="B1573" i="2" a="1"/>
  <c r="C361" i="2" a="1"/>
  <c r="B1511" i="2" a="1"/>
  <c r="C1061" i="2" a="1"/>
  <c r="C1171" i="2" a="1"/>
  <c r="C238" i="2" a="1"/>
  <c r="C951" i="2" a="1"/>
  <c r="B1710" i="2" a="1"/>
  <c r="B899" i="2" a="1"/>
  <c r="C1847" i="2" a="1"/>
  <c r="C1752" i="2" a="1"/>
  <c r="C1367" i="2" a="1"/>
  <c r="B276" i="2" a="1"/>
  <c r="B426" i="2" a="1"/>
  <c r="B1870" i="2" a="1"/>
  <c r="B328" i="2" a="1"/>
  <c r="C502" i="2" a="1"/>
  <c r="C930" i="2" a="1"/>
  <c r="B649" i="2" a="1"/>
  <c r="C1051" i="2" a="1"/>
  <c r="B1532" i="2" a="1"/>
  <c r="C1868" i="2" a="1"/>
  <c r="B270" i="2" a="1"/>
  <c r="B1717" i="2" a="1"/>
  <c r="C880" i="2" a="1"/>
  <c r="C1964" i="2" a="1"/>
  <c r="B1527" i="2" a="1"/>
  <c r="C730" i="2" a="1"/>
  <c r="B1029" i="2" a="1"/>
  <c r="C607" i="2" a="1"/>
  <c r="C1586" i="2" a="1"/>
  <c r="C1286" i="2" a="1"/>
  <c r="C817" i="2" a="1"/>
  <c r="C640" i="2" a="1"/>
  <c r="B1499" i="2" a="1"/>
  <c r="B462" i="2" a="1"/>
  <c r="C1585" i="2" a="1"/>
  <c r="B1712" i="2" a="1"/>
  <c r="C1738" i="2" a="1"/>
  <c r="C479" i="2" a="1"/>
  <c r="C627" i="2" a="1"/>
  <c r="C1798" i="2" a="1"/>
  <c r="C1972" i="2" a="1"/>
  <c r="C283" i="2" a="1"/>
  <c r="B1332" i="2" a="1"/>
  <c r="B1358" i="2" a="1"/>
  <c r="B636" i="2" a="1"/>
  <c r="B510" i="2" a="1"/>
  <c r="C688" i="2" a="1"/>
  <c r="C851" i="2" a="1"/>
  <c r="C1702" i="2" a="1"/>
  <c r="B1954" i="2" a="1"/>
  <c r="B607" i="2" a="1"/>
  <c r="C1616" i="2" a="1"/>
  <c r="C955" i="2" a="1"/>
  <c r="B245" i="2" a="1"/>
  <c r="B1025" i="2" a="1"/>
  <c r="C500" i="2" a="1"/>
  <c r="B817" i="2" a="1"/>
  <c r="C733" i="2" a="1"/>
  <c r="B1520" i="2" a="1"/>
  <c r="B1731" i="2" a="1"/>
  <c r="B470" i="2" a="1"/>
  <c r="C1183" i="2" a="1"/>
  <c r="C1042" i="2" a="1"/>
  <c r="C1891" i="2" a="1"/>
  <c r="B1091" i="2" a="1"/>
  <c r="C536" i="2" a="1"/>
  <c r="B709" i="2" a="1"/>
  <c r="B154" i="2" a="1"/>
  <c r="B603" i="2" a="1"/>
  <c r="B1925" i="2" a="1"/>
  <c r="C1555" i="2" a="1"/>
  <c r="B532" i="2" a="1"/>
  <c r="B734" i="2" a="1"/>
  <c r="C388" i="2" a="1"/>
  <c r="C910" i="2" a="1"/>
  <c r="C1252" i="2" a="1"/>
  <c r="B1245" i="2" a="1"/>
  <c r="B1019" i="2" a="1"/>
  <c r="B1099" i="2" a="1"/>
  <c r="B286" i="2" a="1"/>
  <c r="C305" i="2" a="1"/>
  <c r="B452" i="2" a="1"/>
  <c r="C814" i="2" a="1"/>
  <c r="C858" i="2" a="1"/>
  <c r="C272" i="2" a="1"/>
  <c r="B1381" i="2" a="1"/>
  <c r="B756" i="2" a="1"/>
  <c r="C1236" i="2" a="1"/>
  <c r="C720" i="2" a="1"/>
  <c r="C1436" i="2" a="1"/>
  <c r="B1214" i="2" a="1"/>
  <c r="B1755" i="2" a="1"/>
  <c r="B418" i="2" a="1"/>
  <c r="C574" i="2" a="1"/>
  <c r="B758" i="2" a="1"/>
  <c r="C166" i="2" a="1"/>
  <c r="C1834" i="2" a="1"/>
  <c r="C1568" i="2" a="1"/>
  <c r="C842" i="2" a="1"/>
  <c r="B1401" i="2" a="1"/>
  <c r="B954" i="2" a="1"/>
  <c r="C1560" i="2" a="1"/>
  <c r="C1754" i="2" a="1"/>
  <c r="C1330" i="2" a="1"/>
  <c r="B622" i="2" a="1"/>
  <c r="C396" i="2" a="1"/>
  <c r="C336" i="2" a="1"/>
  <c r="B227" i="2" a="1"/>
  <c r="B360" i="2" a="1"/>
  <c r="C1271" i="2" a="1"/>
  <c r="B985" i="2" a="1"/>
  <c r="C1706" i="2" a="1"/>
  <c r="B1411" i="2" a="1"/>
  <c r="B380" i="2" a="1"/>
  <c r="C163" i="2" a="1"/>
  <c r="C597" i="2" a="1"/>
  <c r="B321" i="2" a="1"/>
  <c r="B1792" i="2" a="1"/>
  <c r="C1379" i="2" a="1"/>
  <c r="B1533" i="2" a="1"/>
  <c r="C1663" i="2" a="1"/>
  <c r="C1675" i="2" a="1"/>
  <c r="B827" i="2" a="1"/>
  <c r="C1179" i="2" a="1"/>
  <c r="B295" i="2" a="1"/>
  <c r="C1390" i="2" a="1"/>
  <c r="B1888" i="2" a="1"/>
  <c r="B431" i="2" a="1"/>
  <c r="C1595" i="2" a="1"/>
  <c r="B242" i="2" a="1"/>
  <c r="B1642" i="2" a="1"/>
  <c r="B699" i="2" a="1"/>
  <c r="C1545" i="2" a="1"/>
  <c r="B725" i="2" a="1"/>
  <c r="B1609" i="2" a="1"/>
  <c r="B336" i="2" a="1"/>
  <c r="C1336" i="2" a="1"/>
  <c r="C968" i="2" a="1"/>
  <c r="B171" i="2" a="1"/>
  <c r="C672" i="2" a="1"/>
  <c r="C1835" i="2" a="1"/>
  <c r="B386" i="2" a="1"/>
  <c r="C253" i="2" a="1"/>
  <c r="C1033" i="2" a="1"/>
  <c r="C1772" i="2" a="1"/>
  <c r="B1685" i="2" a="1"/>
  <c r="C1441" i="2" a="1"/>
  <c r="B1912" i="2" a="1"/>
  <c r="B1771" i="2" a="1"/>
  <c r="C1672" i="2" a="1"/>
  <c r="B1773" i="2" a="1"/>
  <c r="B1921" i="2" a="1"/>
  <c r="B315" i="2" a="1"/>
  <c r="B1885" i="2" a="1"/>
  <c r="B210" i="2" a="1"/>
  <c r="C1674" i="2" a="1"/>
  <c r="C1023" i="2" a="1"/>
  <c r="B1473" i="2" a="1"/>
  <c r="C626" i="2" a="1"/>
  <c r="C1896" i="2" a="1"/>
  <c r="B84" i="2" a="1"/>
  <c r="B1068" i="2" a="1"/>
  <c r="B1243" i="2" a="1"/>
  <c r="C1458" i="2" a="1"/>
  <c r="B1255" i="2" a="1"/>
  <c r="B1425" i="2" a="1"/>
  <c r="C1116" i="2" a="1"/>
  <c r="B175" i="2" a="1"/>
  <c r="B451" i="2" a="1"/>
  <c r="B166" i="2" a="1"/>
  <c r="C1831" i="2" a="1"/>
  <c r="C868" i="2" a="1"/>
  <c r="C1968" i="2" a="1"/>
  <c r="B998" i="2" a="1"/>
  <c r="C722" i="2" a="1"/>
  <c r="C904" i="2" a="1"/>
  <c r="B1961" i="2" a="1"/>
  <c r="B825" i="2" a="1"/>
  <c r="C168" i="2" a="1"/>
  <c r="C1803" i="2" a="1"/>
  <c r="C681" i="2" a="1"/>
  <c r="C937" i="2" a="1"/>
  <c r="B1394" i="2" a="1"/>
  <c r="C1542" i="2" a="1"/>
  <c r="B1699" i="2" a="1"/>
  <c r="B1894" i="2" a="1"/>
  <c r="B1625" i="2" a="1"/>
  <c r="C1337" i="2" a="1"/>
  <c r="C355" i="2" a="1"/>
  <c r="C1424" i="2" a="1"/>
  <c r="B40" i="2" a="1"/>
  <c r="C936" i="2" a="1"/>
  <c r="B754" i="2" a="1"/>
  <c r="B596" i="2" a="1"/>
  <c r="B12" i="2" a="1"/>
  <c r="B1236" i="2" a="1"/>
  <c r="B466" i="2" a="1"/>
  <c r="C1830" i="2" a="1"/>
  <c r="C977" i="2" a="1"/>
  <c r="B720" i="2" a="1"/>
  <c r="B184" i="2" a="1"/>
  <c r="B411" i="2" a="1"/>
  <c r="B496" i="2" a="1"/>
  <c r="B472" i="2" a="1"/>
  <c r="C1577" i="2" a="1"/>
  <c r="C1853" i="2" a="1"/>
  <c r="C1045" i="2" a="1"/>
  <c r="C162" i="2" a="1"/>
  <c r="C161" i="2" a="1"/>
  <c r="C647" i="2" a="1"/>
  <c r="C1569" i="2" a="1"/>
  <c r="B1418" i="2" a="1"/>
  <c r="C1277" i="2" a="1"/>
  <c r="C1347" i="2" a="1"/>
  <c r="C439" i="2" a="1"/>
  <c r="B1069" i="2" a="1"/>
  <c r="C1765" i="2" a="1"/>
  <c r="B828" i="2" a="1"/>
  <c r="C1796" i="2" a="1"/>
  <c r="B528" i="2" a="1"/>
  <c r="B539" i="2" a="1"/>
  <c r="B1380" i="2" a="1"/>
  <c r="B1769" i="2" a="1"/>
  <c r="B202" i="2" a="1"/>
  <c r="C1511" i="2" a="1"/>
  <c r="C1533" i="2" a="1"/>
  <c r="B1171" i="2" a="1"/>
  <c r="C924" i="2" a="1"/>
  <c r="B102" i="2" a="1"/>
  <c r="C1851" i="2" a="1"/>
  <c r="B1975" i="2" a="1"/>
  <c r="B1190" i="2" a="1"/>
  <c r="B1726" i="2" a="1"/>
  <c r="B82" i="2" a="1"/>
  <c r="C1005" i="2" a="1"/>
  <c r="B277" i="2" a="1"/>
  <c r="C1451" i="2" a="1"/>
  <c r="B481" i="2" a="1"/>
  <c r="C337" i="2" a="1"/>
  <c r="C1139" i="2" a="1"/>
  <c r="B1744" i="2" a="1"/>
  <c r="C1310" i="2" a="1"/>
  <c r="B1395" i="2" a="1"/>
  <c r="B1386" i="2" a="1"/>
  <c r="C761" i="2" a="1"/>
  <c r="C1027" i="2" a="1"/>
  <c r="C1658" i="2" a="1"/>
  <c r="B391" i="2" a="1"/>
  <c r="C286" i="2" a="1"/>
  <c r="B1521" i="2" a="1"/>
  <c r="B1417" i="2" a="1"/>
  <c r="B801" i="2" a="1"/>
  <c r="B1583" i="2" a="1"/>
  <c r="C453" i="2" a="1"/>
  <c r="C1624" i="2" a="1"/>
  <c r="C493" i="2" a="1"/>
  <c r="B999" i="2" a="1"/>
  <c r="C542" i="2" a="1"/>
  <c r="C1943" i="2" a="1"/>
  <c r="B267" i="2" a="1"/>
  <c r="B830" i="2" a="1"/>
  <c r="B1537" i="2" a="1"/>
  <c r="B377" i="2" a="1"/>
  <c r="B722" i="2" a="1"/>
  <c r="C654" i="2" a="1"/>
  <c r="B1110" i="2" a="1"/>
  <c r="B1264" i="2" a="1"/>
  <c r="C1797" i="2" a="1"/>
  <c r="C1680" i="2" a="1"/>
  <c r="B538" i="2" a="1"/>
  <c r="B1503" i="2" a="1"/>
  <c r="C457" i="2" a="1"/>
  <c r="C550" i="2" a="1"/>
  <c r="B476" i="2" a="1"/>
  <c r="C579" i="2" a="1"/>
  <c r="C1566" i="2" a="1"/>
  <c r="B719" i="2" a="1"/>
  <c r="B614" i="2" a="1"/>
  <c r="B1953" i="2" a="1"/>
  <c r="C601" i="2" a="1"/>
  <c r="C1869" i="2" a="1"/>
  <c r="B262" i="2" a="1"/>
  <c r="B200" i="2" a="1"/>
  <c r="B1937" i="2" a="1"/>
  <c r="B309" i="2" a="1"/>
  <c r="B1661" i="2" a="1"/>
  <c r="B1175" i="2" a="1"/>
  <c r="B1879" i="2" a="1"/>
  <c r="C1780" i="2" a="1"/>
  <c r="B560" i="2" a="1"/>
  <c r="B396" i="2" a="1"/>
  <c r="B1232" i="2" a="1"/>
  <c r="B1123" i="2" a="1"/>
  <c r="C1650" i="2" a="1"/>
  <c r="C872" i="2" a="1"/>
  <c r="B640" i="2" a="1"/>
  <c r="B148" i="2" a="1"/>
  <c r="C763" i="2" a="1"/>
  <c r="C1807" i="2" a="1"/>
  <c r="C1623" i="2" a="1"/>
  <c r="C419" i="2" a="1"/>
  <c r="B438" i="2" a="1"/>
  <c r="B1461" i="2" a="1"/>
  <c r="C1884" i="2" a="1"/>
  <c r="C1604" i="2" a="1"/>
  <c r="B1799" i="2" a="1"/>
  <c r="C1278" i="2" a="1"/>
  <c r="B1797" i="2" a="1"/>
  <c r="C1095" i="2" a="1"/>
  <c r="B293" i="2" a="1"/>
  <c r="C650" i="2" a="1"/>
  <c r="C334" i="2" a="1"/>
  <c r="C1119" i="2" a="1"/>
  <c r="C297" i="2" a="1"/>
  <c r="B34" i="2" a="1"/>
  <c r="B1041" i="2" a="1"/>
  <c r="C1749" i="2" a="1"/>
  <c r="B632" i="2" a="1"/>
  <c r="C401" i="2" a="1"/>
  <c r="B484" i="2" a="1"/>
  <c r="B491" i="2" a="1"/>
  <c r="B915" i="2" a="1"/>
  <c r="B308" i="2" a="1"/>
  <c r="C1846" i="2" a="1"/>
  <c r="C1419" i="2" a="1"/>
  <c r="C300" i="2" a="1"/>
  <c r="B159" i="2" a="1"/>
  <c r="B1855" i="2" a="1"/>
  <c r="B1851" i="2" a="1"/>
  <c r="C1655" i="2" a="1"/>
  <c r="B456" i="2" a="1"/>
  <c r="C1449" i="2" a="1"/>
  <c r="B113" i="2" a="1"/>
  <c r="C656" i="2" a="1"/>
  <c r="B115" i="2" a="1"/>
  <c r="C525" i="2" a="1"/>
  <c r="B922" i="2" a="1"/>
  <c r="B839" i="2" a="1"/>
  <c r="B459" i="2" a="1"/>
  <c r="C1159" i="2" a="1"/>
  <c r="C655" i="2" a="1"/>
  <c r="C1275" i="2" a="1"/>
  <c r="B1144" i="2" a="1"/>
  <c r="B153" i="2" a="1"/>
  <c r="C715" i="2" a="1"/>
  <c r="C1021" i="2" a="1"/>
  <c r="B1654" i="2" a="1"/>
  <c r="C565" i="2" a="1"/>
  <c r="B1067" i="2" a="1"/>
  <c r="B1242" i="2" a="1"/>
  <c r="C1481" i="2" a="1"/>
  <c r="B409" i="2" a="1"/>
  <c r="B1578" i="2" a="1"/>
  <c r="C551" i="2" a="1"/>
  <c r="B1302" i="2" a="1"/>
  <c r="C1052" i="2" a="1"/>
  <c r="B798" i="2" a="1"/>
  <c r="C1445" i="2" a="1"/>
  <c r="B949" i="2" a="1"/>
  <c r="C860" i="2" a="1"/>
  <c r="B1957" i="2" a="1"/>
  <c r="B1161" i="2" a="1"/>
  <c r="C1172" i="2" a="1"/>
  <c r="B688" i="2" a="1"/>
  <c r="C1259" i="2" a="1"/>
  <c r="C1327" i="2" a="1"/>
  <c r="B1096" i="2" a="1"/>
  <c r="B1928" i="2" a="1"/>
  <c r="C1432" i="2" a="1"/>
  <c r="C786" i="2" a="1"/>
  <c r="C743" i="2" a="1"/>
  <c r="C398" i="2" a="1"/>
  <c r="B1743" i="2" a="1"/>
  <c r="B1724" i="2" a="1"/>
  <c r="C557" i="2" a="1"/>
  <c r="B329" i="2" a="1"/>
  <c r="B271" i="2" a="1"/>
  <c r="B494" i="2" a="1"/>
  <c r="B464" i="2" a="1"/>
  <c r="B58" i="2" a="1"/>
  <c r="B1363" i="2" a="1"/>
  <c r="C1120" i="2" a="1"/>
  <c r="B1966" i="2" a="1"/>
  <c r="B568" i="2" a="1"/>
  <c r="C1246" i="2" a="1"/>
  <c r="B852" i="2" a="1"/>
  <c r="C589" i="2" a="1"/>
  <c r="C292" i="2" a="1"/>
  <c r="B1199" i="2" a="1"/>
  <c r="B807" i="2" a="1"/>
  <c r="C699" i="2" a="1"/>
  <c r="C1857" i="2" a="1"/>
  <c r="C645" i="2" a="1"/>
  <c r="B659" i="2" a="1"/>
  <c r="B517" i="2" a="1"/>
  <c r="C874" i="2" a="1"/>
  <c r="B663" i="2" a="1"/>
  <c r="B1079" i="2" a="1"/>
  <c r="C559" i="2" a="1"/>
  <c r="B86" i="2" a="1"/>
  <c r="B231" i="2" a="1"/>
  <c r="B1904" i="2" a="1"/>
  <c r="B1867" i="2" a="1"/>
  <c r="B1282" i="2" a="1"/>
  <c r="B766" i="2" a="1"/>
  <c r="C1034" i="2" a="1"/>
  <c r="C808" i="2" a="1"/>
  <c r="B1103" i="2" a="1"/>
  <c r="C1372" i="2" a="1"/>
  <c r="B1631" i="2" a="1"/>
  <c r="C953" i="2" a="1"/>
  <c r="B1063" i="2" a="1"/>
  <c r="B93" i="2" a="1"/>
  <c r="B965" i="2" a="1"/>
  <c r="C657" i="2" a="1"/>
  <c r="C918" i="2" a="1"/>
  <c r="B1940" i="2" a="1"/>
  <c r="C1482" i="2" a="1"/>
  <c r="B345" i="2" a="1"/>
  <c r="B1827" i="2" a="1"/>
  <c r="C591" i="2" a="1"/>
  <c r="B1437" i="2" a="1"/>
  <c r="C1237" i="2" a="1"/>
  <c r="C280" i="2" a="1"/>
  <c r="B69" i="2" a="1"/>
  <c r="C1151" i="2" a="1"/>
  <c r="B892" i="2" a="1"/>
  <c r="B31" i="2" a="1"/>
  <c r="C232" i="2" a="1"/>
  <c r="B654" i="2" a="1"/>
  <c r="B252" i="2" a="1"/>
  <c r="B1557" i="2" a="1"/>
  <c r="B1582" i="2" a="1"/>
  <c r="B346" i="2" a="1"/>
  <c r="B1823" i="2" a="1"/>
  <c r="C1442" i="2" a="1"/>
  <c r="B181" i="2" a="1"/>
  <c r="B1049" i="2" a="1"/>
  <c r="B652" i="2" a="1"/>
  <c r="C1207" i="2" a="1"/>
  <c r="B480" i="2" a="1"/>
  <c r="C244" i="2" a="1"/>
  <c r="B160" i="2" a="1"/>
  <c r="C668" i="2" a="1"/>
  <c r="B690" i="2" a="1"/>
  <c r="B1754" i="2" a="1"/>
  <c r="C1032" i="2" a="1"/>
  <c r="C1777" i="2" a="1"/>
  <c r="B1048" i="2" a="1"/>
  <c r="B290" i="2" a="1"/>
  <c r="B579" i="2" a="1"/>
  <c r="C1611" i="2" a="1"/>
  <c r="C1147" i="2" a="1"/>
  <c r="C1949" i="2" a="1"/>
  <c r="B26" i="2" a="1"/>
  <c r="C651" i="2" a="1"/>
  <c r="C795" i="2" a="1"/>
  <c r="C945" i="2" a="1"/>
  <c r="B432" i="2" a="1"/>
  <c r="C1339" i="2" a="1"/>
  <c r="B509" i="2" a="1"/>
  <c r="C477" i="2" a="1"/>
  <c r="B337" i="2" a="1"/>
  <c r="C564" i="2" a="1"/>
  <c r="B792" i="2" a="1"/>
  <c r="B1459" i="2" a="1"/>
  <c r="B1440" i="2" a="1"/>
  <c r="C1472" i="2" a="1"/>
  <c r="C494" i="2" a="1"/>
  <c r="B1519" i="2" a="1"/>
  <c r="B1436" i="2" a="1"/>
  <c r="C1500" i="2" a="1"/>
  <c r="C1190" i="2" a="1"/>
  <c r="C268" i="2" a="1"/>
  <c r="C1083" i="2" a="1"/>
  <c r="B1114" i="2" a="1"/>
  <c r="B1361" i="2" a="1"/>
  <c r="C1187" i="2" a="1"/>
  <c r="B1897" i="2" a="1"/>
  <c r="C1195" i="2" a="1"/>
  <c r="C1009" i="2" a="1"/>
  <c r="C728" i="2" a="1"/>
  <c r="B1486" i="2" a="1"/>
  <c r="C1070" i="2" a="1"/>
  <c r="C1167" i="2" a="1"/>
  <c r="B1291" i="2" a="1"/>
  <c r="C1740" i="2" a="1"/>
  <c r="B1343" i="2" a="1"/>
  <c r="B1206" i="2" a="1"/>
  <c r="B303" i="2" a="1"/>
  <c r="C653" i="2" a="1"/>
  <c r="C1498" i="2" a="1"/>
  <c r="B1936" i="2" a="1"/>
  <c r="B648" i="2" a="1"/>
  <c r="B108" i="2" a="1"/>
  <c r="C1809" i="2" a="1"/>
  <c r="C508" i="2" a="1"/>
  <c r="C1234" i="2" a="1"/>
  <c r="B1313" i="2" a="1"/>
  <c r="C1525" i="2" a="1"/>
  <c r="B248" i="2" a="1"/>
  <c r="B425" i="2" a="1"/>
  <c r="C1137" i="2" a="1"/>
  <c r="C1694" i="2" a="1"/>
  <c r="C1440" i="2" a="1"/>
  <c r="B1806" i="2" a="1"/>
  <c r="B1652" i="2" a="1"/>
  <c r="B1592" i="2" a="1"/>
  <c r="B619" i="2" a="1"/>
  <c r="B1393" i="2" a="1"/>
  <c r="B324" i="2" a="1"/>
  <c r="B1611" i="2" a="1"/>
  <c r="B565" i="2" a="1"/>
  <c r="C734" i="2" a="1"/>
  <c r="B406" i="2" a="1"/>
  <c r="B861" i="2" a="1"/>
  <c r="C966" i="2" a="1"/>
  <c r="C1746" i="2" a="1"/>
  <c r="C446" i="2" a="1"/>
  <c r="C1951" i="2" a="1"/>
  <c r="B419" i="2" a="1"/>
  <c r="B813" i="2" a="1"/>
  <c r="C711" i="2" a="1"/>
  <c r="B134" i="2" a="1"/>
  <c r="B623" i="2" a="1"/>
  <c r="C1321" i="2" a="1"/>
  <c r="B1900" i="2" a="1"/>
  <c r="B489" i="2" a="1"/>
  <c r="B1858" i="2" a="1"/>
  <c r="B1059" i="2" a="1"/>
  <c r="C1256" i="2" a="1"/>
  <c r="C1477" i="2" a="1"/>
  <c r="B755" i="2" a="1"/>
  <c r="C1024" i="2" a="1"/>
  <c r="C1841" i="2" a="1"/>
  <c r="C1873" i="2" a="1"/>
  <c r="C861" i="2" a="1"/>
  <c r="C593" i="2" a="1"/>
  <c r="C1849" i="2" a="1"/>
  <c r="C1114" i="2" a="1"/>
  <c r="C1603" i="2" a="1"/>
  <c r="C201" i="2" a="1"/>
  <c r="B402" i="2" a="1"/>
  <c r="B896" i="2" a="1"/>
  <c r="C1343" i="2" a="1"/>
  <c r="B1682" i="2" a="1"/>
  <c r="B1061" i="2" a="1"/>
  <c r="C1700" i="2" a="1"/>
  <c r="B216" i="2" a="1"/>
  <c r="C1838" i="2" a="1"/>
  <c r="B240" i="2" a="1"/>
  <c r="C1328" i="2" a="1"/>
  <c r="C707" i="2" a="1"/>
  <c r="C843" i="2" a="1"/>
  <c r="B1586" i="2" a="1"/>
  <c r="B1952" i="2" a="1"/>
  <c r="C1939" i="2" a="1"/>
  <c r="C1785" i="2" a="1"/>
  <c r="B1071" i="2" a="1"/>
  <c r="C832" i="2" a="1"/>
  <c r="B1105" i="2" a="1"/>
  <c r="B15" i="2" a="1"/>
  <c r="B68" i="2" a="1"/>
  <c r="C501" i="2" a="1"/>
  <c r="B269" i="2" a="1"/>
  <c r="B1108" i="2" a="1"/>
  <c r="C670" i="2" a="1"/>
  <c r="B1248" i="2" a="1"/>
  <c r="C317" i="2" a="1"/>
  <c r="B1027" i="2" a="1"/>
  <c r="B576" i="2" a="1"/>
  <c r="B1621" i="2" a="1"/>
  <c r="C1184" i="2" a="1"/>
  <c r="C1298" i="2" a="1"/>
  <c r="C915" i="2" a="1"/>
  <c r="C556" i="2" a="1"/>
  <c r="C308" i="2" a="1"/>
  <c r="C1729" i="2" a="1"/>
  <c r="C981" i="2" a="1"/>
  <c r="B1098" i="2" a="1"/>
  <c r="B1112" i="2" a="1"/>
  <c r="C1548" i="2" a="1"/>
  <c r="C712" i="2" a="1"/>
  <c r="B298" i="2" a="1"/>
  <c r="B1967" i="2" a="1"/>
  <c r="C1620" i="2" a="1"/>
  <c r="B1641" i="2" a="1"/>
  <c r="B165" i="2" a="1"/>
  <c r="C1218" i="2" a="1"/>
  <c r="B1732" i="2" a="1"/>
  <c r="B1183" i="2" a="1"/>
  <c r="B1703" i="2" a="1"/>
  <c r="B331" i="2" a="1"/>
  <c r="C1534" i="2" a="1"/>
  <c r="C920" i="2" a="1"/>
  <c r="B1651" i="2" a="1"/>
  <c r="C1936" i="2" a="1"/>
  <c r="B1409" i="2" a="1"/>
  <c r="C1535" i="2" a="1"/>
  <c r="C1579" i="2" a="1"/>
  <c r="B1816" i="2" a="1"/>
  <c r="B1458" i="2" a="1"/>
  <c r="C1858" i="2" a="1"/>
  <c r="C1900" i="2" a="1"/>
  <c r="C529" i="2" a="1"/>
  <c r="B1122" i="2" a="1"/>
  <c r="B1100" i="2" a="1"/>
  <c r="B1121" i="2" a="1"/>
  <c r="B1886" i="2" a="1"/>
  <c r="B1774" i="2" a="1"/>
  <c r="C1075" i="2" a="1"/>
  <c r="B1622" i="2" a="1"/>
  <c r="B250" i="2" a="1"/>
  <c r="B1785" i="2" a="1"/>
  <c r="B1830" i="2" a="1"/>
  <c r="B689" i="2" a="1"/>
  <c r="B621" i="2" a="1"/>
  <c r="C588" i="2" a="1"/>
  <c r="C991" i="2" a="1"/>
  <c r="B791" i="2" a="1"/>
  <c r="C1050" i="2" a="1"/>
  <c r="C774" i="2" a="1"/>
  <c r="B408" i="2" a="1"/>
  <c r="B541" i="2" a="1"/>
  <c r="B1600" i="2" a="1"/>
  <c r="C1198" i="2" a="1"/>
  <c r="C1679" i="2" a="1"/>
  <c r="C338" i="2" a="1"/>
  <c r="B1353" i="2" a="1"/>
  <c r="B1784" i="2" a="1"/>
  <c r="C481" i="2" a="1"/>
  <c r="B1549" i="2" a="1"/>
  <c r="C632" i="2" a="1"/>
  <c r="B858" i="2" a="1"/>
  <c r="B1716" i="2" a="1"/>
  <c r="B1565" i="2" a="1"/>
  <c r="C625" i="2" a="1"/>
  <c r="C1820" i="2" a="1"/>
  <c r="C939" i="2" a="1"/>
  <c r="C658" i="2" a="1"/>
  <c r="B463" i="2" a="1"/>
  <c r="B1331" i="2" a="1"/>
  <c r="B3" i="2" a="1"/>
  <c r="C359" i="2" a="1"/>
  <c r="C385" i="2" a="1"/>
  <c r="B653" i="2" a="1"/>
  <c r="C432" i="2" a="1"/>
  <c r="B52" i="2" a="1"/>
  <c r="B795" i="2" a="1"/>
  <c r="B1288" i="2" a="1"/>
  <c r="B1536" i="2" a="1"/>
  <c r="C1867" i="2" a="1"/>
  <c r="B980" i="2" a="1"/>
  <c r="B29" i="2" a="1"/>
  <c r="C881" i="2" a="1"/>
  <c r="B1595" i="2" a="1"/>
  <c r="C616" i="2" a="1"/>
  <c r="B1514" i="2" a="1"/>
  <c r="B1556" i="2" a="1"/>
  <c r="B1828" i="2" a="1"/>
  <c r="B164" i="2" a="1"/>
  <c r="C1071" i="2" a="1"/>
  <c r="B117" i="2" a="1"/>
  <c r="C568" i="2" a="1"/>
  <c r="B908" i="2" a="1"/>
  <c r="B706" i="2" a="1"/>
  <c r="B282" i="2" a="1"/>
  <c r="B1311" i="2" a="1"/>
  <c r="C816" i="2" a="1"/>
  <c r="C1501" i="2" a="1"/>
  <c r="B1004" i="2" a="1"/>
  <c r="C1325" i="2" a="1"/>
  <c r="C805" i="2" a="1"/>
  <c r="B824" i="2" a="1"/>
  <c r="C1638" i="2" a="1"/>
  <c r="B1421" i="2" a="1"/>
  <c r="C685" i="2" a="1"/>
  <c r="B671" i="2" a="1"/>
  <c r="B862" i="2" a="1"/>
  <c r="B312" i="2" a="1"/>
  <c r="C1300" i="2" a="1"/>
  <c r="B176" i="2" a="1"/>
  <c r="C646" i="2" a="1"/>
  <c r="B387" i="2" a="1"/>
  <c r="B219" i="2" a="1"/>
  <c r="B1949" i="2" a="1"/>
  <c r="B1006" i="2" a="1"/>
  <c r="C1918" i="2" a="1"/>
  <c r="B258" i="2" a="1"/>
  <c r="C1469" i="2" a="1"/>
  <c r="C367" i="2" a="1"/>
  <c r="C1102" i="2" a="1"/>
  <c r="C1766" i="2" a="1"/>
  <c r="C907" i="2" a="1"/>
  <c r="C357" i="2" a="1"/>
  <c r="B1624" i="2" a="1"/>
  <c r="C1293" i="2" a="1"/>
  <c r="B707" i="2" a="1"/>
  <c r="B1224" i="2" a="1"/>
  <c r="C1536" i="2" a="1"/>
  <c r="B1593" i="2" a="1"/>
  <c r="C491" i="2" a="1"/>
  <c r="B588" i="2" a="1"/>
  <c r="C1588" i="2" a="1"/>
  <c r="B137" i="2" a="1"/>
  <c r="C1394" i="2" a="1"/>
  <c r="C1805" i="2" a="1"/>
  <c r="C1561" i="2" a="1"/>
  <c r="B752" i="2" a="1"/>
  <c r="C889" i="2" a="1"/>
  <c r="B1321" i="2" a="1"/>
  <c r="B984" i="2" a="1"/>
  <c r="B1086" i="2" a="1"/>
  <c r="B225" i="2" a="1"/>
  <c r="B1843" i="2" a="1"/>
  <c r="C1875" i="2" a="1"/>
  <c r="B1281" i="2" a="1"/>
  <c r="C1848" i="2" a="1"/>
  <c r="C1870" i="2" a="1"/>
  <c r="C909" i="2" a="1"/>
  <c r="B513" i="2" a="1"/>
  <c r="B180" i="2" a="1"/>
  <c r="B645" i="2" a="1"/>
  <c r="B1160" i="2" a="1"/>
  <c r="C1661" i="2" a="1"/>
  <c r="C1225" i="2" a="1"/>
  <c r="C1103" i="2" a="1"/>
  <c r="C1001" i="2" a="1"/>
  <c r="C747" i="2" a="1"/>
  <c r="C978" i="2" a="1"/>
  <c r="B1813" i="2" a="1"/>
  <c r="B1757" i="2" a="1"/>
  <c r="B373" i="2" a="1"/>
  <c r="B448" i="2" a="1"/>
  <c r="C962" i="2" a="1"/>
  <c r="C1063" i="2" a="1"/>
  <c r="B927" i="2" a="1"/>
  <c r="C165" i="2" a="1"/>
  <c r="C1732" i="2" a="1"/>
  <c r="B20" i="2" a="1"/>
  <c r="B1974" i="2" a="1"/>
  <c r="B1043" i="2" a="1"/>
  <c r="C982" i="2" a="1"/>
  <c r="C1753" i="2" a="1"/>
  <c r="B1690" i="2" a="1"/>
  <c r="B1143" i="2" a="1"/>
  <c r="C1345" i="2" a="1"/>
  <c r="B1202" i="2" a="1"/>
  <c r="C1193" i="2" a="1"/>
  <c r="C1242" i="2" a="1"/>
  <c r="B1441" i="2" a="1"/>
  <c r="B1842" i="2" a="1"/>
  <c r="B365" i="2" a="1"/>
  <c r="C804" i="2" a="1"/>
  <c r="C1134" i="2" a="1"/>
  <c r="C1087" i="2" a="1"/>
  <c r="B63" i="2" a="1"/>
  <c r="B97" i="2" a="1"/>
  <c r="C897" i="2" a="1"/>
  <c r="B753" i="2" a="1"/>
  <c r="B808" i="2" a="1"/>
  <c r="C618" i="2" a="1"/>
  <c r="C530" i="2" a="1"/>
  <c r="C533" i="2" a="1"/>
  <c r="B730" i="2" a="1"/>
  <c r="C1583" i="2" a="1"/>
  <c r="C295" i="2" a="1"/>
  <c r="C380" i="2" a="1"/>
  <c r="C1842" i="2" a="1"/>
  <c r="B1696" i="2" a="1"/>
  <c r="C1214" i="2" a="1"/>
  <c r="C642" i="2" a="1"/>
  <c r="B968" i="2" a="1"/>
  <c r="C684" i="2" a="1"/>
  <c r="B157" i="2" a="1"/>
  <c r="B156" i="2" a="1"/>
  <c r="C1894" i="2" a="1"/>
  <c r="B533" i="2" a="1"/>
  <c r="B764" i="2" a="1"/>
  <c r="C1734" i="2" a="1"/>
  <c r="C1205" i="2" a="1"/>
  <c r="C1669" i="2" a="1"/>
  <c r="C908" i="2" a="1"/>
  <c r="B444" i="2" a="1"/>
  <c r="C726" i="2" a="1"/>
  <c r="B1476" i="2" a="1"/>
  <c r="B243" i="2" a="1"/>
  <c r="B379" i="2" a="1"/>
  <c r="B322" i="2" a="1"/>
  <c r="C1097" i="2" a="1"/>
  <c r="B1002" i="2" a="1"/>
  <c r="B1638" i="2" a="1"/>
  <c r="C366" i="2" a="1"/>
  <c r="C1152" i="2" a="1"/>
  <c r="B1875" i="2" a="1"/>
  <c r="B1280" i="2" a="1"/>
  <c r="C527" i="2" a="1"/>
  <c r="C1000" i="2" a="1"/>
  <c r="B1344" i="2" a="1"/>
  <c r="C1786" i="2" a="1"/>
  <c r="C1633" i="2" a="1"/>
  <c r="B559" i="2" a="1"/>
  <c r="C170" i="2" a="1"/>
  <c r="C1422" i="2" a="1"/>
  <c r="C1719" i="2" a="1"/>
  <c r="C793" i="2" a="1"/>
  <c r="B931" i="2" a="1"/>
  <c r="B593" i="2" a="1"/>
  <c r="C1631" i="2" a="1"/>
  <c r="C412" i="2" a="1"/>
  <c r="B1835" i="2" a="1"/>
  <c r="C1763" i="2" a="1"/>
  <c r="C1279" i="2" a="1"/>
  <c r="C1587" i="2" a="1"/>
  <c r="B1672" i="2" a="1"/>
  <c r="C1957" i="2" a="1"/>
  <c r="B1057" i="2" a="1"/>
  <c r="B1377" i="2" a="1"/>
  <c r="C719" i="2" a="1"/>
  <c r="B778" i="2" a="1"/>
  <c r="B1013" i="2" a="1"/>
  <c r="C395" i="2" a="1"/>
  <c r="C1149" i="2" a="1"/>
  <c r="B878" i="2" a="1"/>
  <c r="C1129" i="2" a="1"/>
  <c r="B911" i="2" a="1"/>
  <c r="B748" i="2" a="1"/>
  <c r="B1283" i="2" a="1"/>
  <c r="C169" i="2" a="1"/>
  <c r="B1481" i="2" a="1"/>
  <c r="C1166" i="2" a="1"/>
  <c r="C735" i="2" a="1"/>
  <c r="B330" i="2" a="1"/>
  <c r="C1164" i="2" a="1"/>
  <c r="B1257" i="2" a="1"/>
  <c r="C1802" i="2" a="1"/>
  <c r="C753" i="2" a="1"/>
  <c r="B304" i="2" a="1"/>
  <c r="B1390" i="2" a="1"/>
  <c r="C391" i="2" a="1"/>
  <c r="B991" i="2" a="1"/>
  <c r="B1273" i="2" a="1"/>
  <c r="B1369" i="2" a="1"/>
  <c r="C1402" i="2" a="1"/>
  <c r="C390" i="2" a="1"/>
  <c r="C1121" i="2" a="1"/>
  <c r="B569" i="2" a="1"/>
  <c r="B70" i="2" a="1"/>
  <c r="B1371" i="2" a="1"/>
  <c r="B1258" i="2" a="1"/>
  <c r="B917" i="2" a="1"/>
  <c r="B775" i="2" a="1"/>
  <c r="C1735" i="2" a="1"/>
  <c r="B1117" i="2" a="1"/>
  <c r="C1792" i="2" a="1"/>
  <c r="B285" i="2" a="1"/>
  <c r="C1110" i="2" a="1"/>
  <c r="B945" i="2" a="1"/>
  <c r="C1862" i="2" a="1"/>
  <c r="B814" i="2" a="1"/>
  <c r="C854" i="2" a="1"/>
  <c r="B1531" i="2" a="1"/>
  <c r="C1196" i="2" a="1"/>
  <c r="B74" i="2" a="1"/>
  <c r="C321" i="2" a="1"/>
  <c r="C299" i="2" a="1"/>
  <c r="C330" i="2" a="1"/>
  <c r="C1688" i="2" a="1"/>
  <c r="B434" i="2" a="1"/>
  <c r="B526" i="2" a="1"/>
  <c r="C1089" i="2" a="1"/>
  <c r="B1554" i="2" a="1"/>
  <c r="C1926" i="2" a="1"/>
  <c r="B1640" i="2" a="1"/>
  <c r="C1764" i="2" a="1"/>
  <c r="C1748" i="2" a="1"/>
  <c r="B1133" i="2" a="1"/>
  <c r="C1022" i="2" a="1"/>
  <c r="C1425" i="2" a="1"/>
  <c r="B1178" i="2" a="1"/>
  <c r="B1809" i="2" a="1"/>
  <c r="B1375" i="2" a="1"/>
  <c r="B1101" i="2" a="1"/>
  <c r="B1576" i="2" a="1"/>
  <c r="B1523" i="2" a="1"/>
  <c r="B128" i="2" a="1"/>
  <c r="B879" i="2" a="1"/>
  <c r="B1871" i="2" a="1"/>
  <c r="B1663" i="2" a="1"/>
  <c r="C769" i="2" a="1"/>
  <c r="B1074" i="2" a="1"/>
  <c r="C483" i="2" a="1"/>
  <c r="C927" i="2" a="1"/>
  <c r="B59" i="2" a="1"/>
  <c r="C1845" i="2" a="1"/>
  <c r="C1722" i="2" a="1"/>
  <c r="B1482" i="2" a="1"/>
  <c r="B189" i="2" a="1"/>
  <c r="B238" i="2" a="1"/>
  <c r="C1843" i="2" a="1"/>
  <c r="B1804" i="2" a="1"/>
  <c r="C1098" i="2" a="1"/>
  <c r="C787" i="2" a="1"/>
  <c r="C1684" i="2" a="1"/>
  <c r="C1127" i="2" a="1"/>
  <c r="C866" i="2" a="1"/>
  <c r="B1053" i="2" a="1"/>
  <c r="C354" i="2" a="1"/>
  <c r="B741" i="2" a="1"/>
  <c r="B1467" i="2" a="1"/>
  <c r="C1676" i="2" a="1"/>
  <c r="B1186" i="2" a="1"/>
  <c r="C1078" i="2" a="1"/>
  <c r="B1464" i="2" a="1"/>
  <c r="C332" i="2" a="1"/>
  <c r="C791" i="2" a="1"/>
  <c r="C1346" i="2" a="1"/>
  <c r="C1584" i="2" a="1"/>
  <c r="B1973" i="2" a="1"/>
  <c r="C267" i="2" a="1"/>
  <c r="B1753" i="2" a="1"/>
  <c r="B1494" i="2" a="1"/>
  <c r="B515" i="2" a="1"/>
  <c r="B1359" i="2" a="1"/>
  <c r="C1652" i="2" a="1"/>
  <c r="C1600" i="2" a="1"/>
  <c r="B287" i="2" a="1"/>
  <c r="C1013" i="2" a="1"/>
  <c r="B1033" i="2" a="1"/>
  <c r="C830" i="2" a="1"/>
  <c r="C555" i="2" a="1"/>
  <c r="C1876" i="2" a="1"/>
  <c r="B1881" i="2" a="1"/>
  <c r="B765" i="2" a="1"/>
  <c r="C1816" i="2" a="1"/>
  <c r="B889" i="2" a="1"/>
  <c r="B1301" i="2" a="1"/>
  <c r="C1581" i="2" a="1"/>
  <c r="B495" i="2" a="1"/>
  <c r="C1578" i="2" a="1"/>
  <c r="B61" i="2" a="1"/>
  <c r="C1966" i="2" a="1"/>
  <c r="B1323" i="2" a="1"/>
  <c r="B1908" i="2" a="1"/>
  <c r="B779" i="2" a="1"/>
  <c r="B818" i="2" a="1"/>
  <c r="B770" i="2" a="1"/>
  <c r="B105" i="2" a="1"/>
  <c r="C600" i="2" a="1"/>
  <c r="B1725" i="2" a="1"/>
  <c r="B812" i="2" a="1"/>
  <c r="B1525" i="2" a="1"/>
  <c r="C436" i="2" a="1"/>
  <c r="C637" i="2" a="1"/>
  <c r="B439" i="2" a="1"/>
  <c r="C970" i="2" a="1"/>
  <c r="B121" i="2" a="1"/>
  <c r="B1299" i="2" a="1"/>
  <c r="B1030" i="2" a="1"/>
  <c r="C351" i="2" a="1"/>
  <c r="C1713" i="2" a="1"/>
  <c r="B1398" i="2" a="1"/>
  <c r="C1224" i="2" a="1"/>
  <c r="B702" i="2" a="1"/>
  <c r="B1706" i="2" a="1"/>
  <c r="C1338" i="2" a="1"/>
  <c r="B1095" i="2" a="1"/>
  <c r="B433" i="2" a="1"/>
  <c r="C628" i="2" a="1"/>
  <c r="B1614" i="2" a="1"/>
  <c r="B98" i="2" a="1"/>
  <c r="C1053" i="2" a="1"/>
  <c r="B746" i="2" a="1"/>
  <c r="C1302" i="2" a="1"/>
  <c r="B261" i="2" a="1"/>
  <c r="C1709" i="2" a="1"/>
  <c r="C1692" i="2" a="1"/>
  <c r="C770" i="2" a="1"/>
  <c r="C442" i="2" a="1"/>
  <c r="C1267" i="2" a="1"/>
  <c r="C1517" i="2" a="1"/>
  <c r="B17" i="2" a="1"/>
  <c r="B77" i="2" a="1"/>
  <c r="B657" i="2" a="1"/>
  <c r="B1010" i="2" a="1"/>
  <c r="B1692" i="2" a="1"/>
  <c r="C1822" i="2" a="1"/>
  <c r="B1185" i="2" a="1"/>
  <c r="B1528" i="2" a="1"/>
  <c r="B49" i="2" a="1"/>
  <c r="C1046" i="2" a="1"/>
  <c r="C322" i="2" a="1"/>
  <c r="C1824" i="2" a="1"/>
  <c r="C269" i="2" a="1"/>
  <c r="C315" i="2" a="1"/>
  <c r="B1632" i="2" a="1"/>
  <c r="B224" i="2" a="1"/>
  <c r="B585" i="2" a="1"/>
  <c r="B1426" i="2" a="1"/>
  <c r="C372" i="2" a="1"/>
  <c r="B170" i="2" a="1"/>
  <c r="C1048" i="2" a="1"/>
  <c r="C1156" i="2" a="1"/>
  <c r="B280" i="2" a="1"/>
  <c r="C1899" i="2" a="1"/>
  <c r="B145" i="2" a="1"/>
  <c r="C1550" i="2" a="1"/>
  <c r="C1067" i="2" a="1"/>
  <c r="C307" i="2" a="1"/>
  <c r="B461" i="2" a="1"/>
  <c r="B842" i="2" a="1"/>
  <c r="C605" i="2" a="1"/>
  <c r="C450" i="2" a="1"/>
  <c r="C271" i="2" a="1"/>
  <c r="B1976" i="2" a="1"/>
  <c r="B597" i="2" a="1"/>
  <c r="C1930" i="2" a="1"/>
  <c r="B1136" i="2" a="1"/>
  <c r="B1861" i="2" a="1"/>
  <c r="C1724" i="2" a="1"/>
  <c r="C1940" i="2" a="1"/>
  <c r="C697" i="2" a="1"/>
  <c r="B964" i="2" a="1"/>
  <c r="C1701" i="2" a="1"/>
  <c r="B784" i="2" a="1"/>
  <c r="B1585" i="2" a="1"/>
  <c r="B698" i="2" a="1"/>
  <c r="C319" i="2" a="1"/>
  <c r="B831" i="2" a="1"/>
  <c r="C1373" i="2" a="1"/>
  <c r="B627" i="2" a="1"/>
  <c r="B1550" i="2" a="1"/>
  <c r="B83" i="2" a="1"/>
  <c r="B537" i="2" a="1"/>
  <c r="C364" i="2" a="1"/>
  <c r="B838" i="2" a="1"/>
  <c r="C680" i="2" a="1"/>
  <c r="C1840" i="2" a="1"/>
  <c r="B625" i="2" a="1"/>
  <c r="C1099" i="2" a="1"/>
  <c r="B54" i="2" a="1"/>
  <c r="C1155" i="2" a="1"/>
  <c r="C328" i="2" a="1"/>
  <c r="C482" i="2" a="1"/>
  <c r="B1594" i="2" a="1"/>
  <c r="C281" i="2" a="1"/>
  <c r="C1760" i="2" a="1"/>
  <c r="B1606" i="2" a="1"/>
  <c r="B1895" i="2" a="1"/>
  <c r="B1616" i="2" a="1"/>
  <c r="B1373" i="2" a="1"/>
  <c r="C796" i="2" a="1"/>
  <c r="C1315" i="2" a="1"/>
  <c r="B1903" i="2" a="1"/>
  <c r="B1589" i="2" a="1"/>
  <c r="B201" i="2" a="1"/>
  <c r="B929" i="2" a="1"/>
  <c r="B973" i="2" a="1"/>
  <c r="B1388" i="2" a="1"/>
  <c r="B903" i="2" a="1"/>
  <c r="B1491" i="2" a="1"/>
  <c r="C1921" i="2" a="1"/>
  <c r="C1508" i="2" a="1"/>
  <c r="C1389" i="2" a="1"/>
  <c r="B1650" i="2" a="1"/>
  <c r="B1407" i="2" a="1"/>
  <c r="B1648" i="2" a="1"/>
  <c r="B851" i="2" a="1"/>
  <c r="C702" i="2" a="1"/>
  <c r="C1387" i="2" a="1"/>
  <c r="C1544" i="2" a="1"/>
  <c r="C911" i="2" a="1"/>
  <c r="B1247" i="2" a="1"/>
  <c r="B144" i="2" a="1"/>
  <c r="C899" i="2" a="1"/>
  <c r="C1201" i="2" a="1"/>
  <c r="C611" i="2" a="1"/>
  <c r="C957" i="2" a="1"/>
  <c r="B863" i="2" a="1"/>
  <c r="B1228" i="2" a="1"/>
  <c r="B1165" i="2" a="1"/>
  <c r="B1339" i="2" a="1"/>
  <c r="B600" i="2" a="1"/>
  <c r="B850" i="2" a="1"/>
  <c r="B1506" i="2" a="1"/>
  <c r="C1352" i="2" a="1"/>
  <c r="C1514" i="2" a="1"/>
  <c r="B1080" i="2" a="1"/>
  <c r="B1106" i="2" a="1"/>
  <c r="C671" i="2" a="1"/>
  <c r="B857" i="2" a="1"/>
  <c r="C1140" i="2" a="1"/>
  <c r="B1891" i="2" a="1"/>
  <c r="B266" i="2" a="1"/>
  <c r="C1515" i="2" a="1"/>
  <c r="C1249" i="2" a="1"/>
  <c r="B1179" i="2" a="1"/>
  <c r="B1396" i="2" a="1"/>
  <c r="C585" i="2" a="1"/>
  <c r="B455" i="2" a="1"/>
  <c r="C304" i="2" a="1"/>
  <c r="C288" i="2" a="1"/>
  <c r="B1270" i="2" a="1"/>
  <c r="B1205" i="2" a="1"/>
  <c r="B912" i="2" a="1"/>
  <c r="B1677" i="2" a="1"/>
  <c r="C394" i="2" a="1"/>
  <c r="B1180" i="2" a="1"/>
  <c r="B1374" i="2" a="1"/>
  <c r="B1024" i="2" a="1"/>
  <c r="C706" i="2" a="1"/>
  <c r="B356" i="2" a="1"/>
  <c r="B1783" i="2" a="1"/>
  <c r="B692" i="2" a="1"/>
  <c r="B1204" i="2" a="1"/>
  <c r="C227" i="2" a="1"/>
  <c r="B567" i="2" a="1"/>
  <c r="C1382" i="2" a="1"/>
  <c r="C675" i="2" a="1"/>
  <c r="C959" i="2" a="1"/>
  <c r="C713" i="2" a="1"/>
  <c r="B1829" i="2" a="1"/>
  <c r="B1066" i="2" a="1"/>
  <c r="C682" i="2" a="1"/>
  <c r="B868" i="2" a="1"/>
  <c r="C1108" i="2" a="1"/>
  <c r="C402" i="2" a="1"/>
  <c r="C1400" i="2" a="1"/>
  <c r="B326" i="2" a="1"/>
  <c r="C1885" i="2" a="1"/>
  <c r="B592" i="2" a="1"/>
  <c r="B228" i="2" a="1"/>
  <c r="B884" i="2" a="1"/>
  <c r="B1478" i="2" a="1"/>
  <c r="B837" i="2" a="1"/>
  <c r="C560" i="2" a="1"/>
  <c r="C1489" i="2" a="1"/>
  <c r="C755" i="2" a="1"/>
  <c r="B1787" i="2" a="1"/>
  <c r="B1660" i="2" a="1"/>
  <c r="B604" i="2" a="1"/>
  <c r="B246" i="2" a="1"/>
  <c r="C850" i="2" a="1"/>
  <c r="C1811" i="2" a="1"/>
  <c r="B1688" i="2" a="1"/>
  <c r="C369" i="2" a="1"/>
  <c r="C1708" i="2" a="1"/>
  <c r="B1430" i="2" a="1"/>
  <c r="B599" i="2" a="1"/>
  <c r="B1681" i="2" a="1"/>
  <c r="C470" i="2" a="1"/>
  <c r="B996" i="2" a="1"/>
  <c r="C890" i="2" a="1"/>
  <c r="C403" i="2" a="1"/>
  <c r="B1188" i="2" a="1"/>
  <c r="C875" i="2" a="1"/>
  <c r="B1761" i="2" a="1"/>
  <c r="C570" i="2" a="1"/>
  <c r="C972" i="2" a="1"/>
  <c r="C925" i="2" a="1"/>
  <c r="B1120" i="2" a="1"/>
  <c r="B1786" i="2" a="1"/>
  <c r="B617" i="2" a="1"/>
  <c r="B1406" i="2" a="1"/>
  <c r="C943" i="2" a="1"/>
  <c r="C1576" i="2" a="1"/>
  <c r="C1742" i="2" a="1"/>
  <c r="C537" i="2" a="1"/>
  <c r="C1243" i="2" a="1"/>
  <c r="B525" i="2" a="1"/>
  <c r="C512" i="2" a="1"/>
  <c r="C1276" i="2" a="1"/>
  <c r="C1559" i="2" a="1"/>
  <c r="B826" i="2" a="1"/>
  <c r="C1241" i="2" a="1"/>
  <c r="B1489" i="2" a="1"/>
  <c r="B1939" i="2" a="1"/>
  <c r="C418" i="2" a="1"/>
  <c r="B374" i="2" a="1"/>
  <c r="B544" i="2" a="1"/>
  <c r="B1679" i="2" a="1"/>
  <c r="C1466" i="2" a="1"/>
  <c r="C1360" i="2" a="1"/>
  <c r="C1217" i="2" a="1"/>
  <c r="C598" i="2" a="1"/>
  <c r="B1172" i="2" a="1"/>
  <c r="B112" i="2" a="1"/>
  <c r="C1312" i="2" a="1"/>
  <c r="C1630" i="2" a="1"/>
  <c r="C289" i="2" a="1"/>
  <c r="C1493" i="2" a="1"/>
  <c r="C1040" i="2" a="1"/>
  <c r="B1141" i="2" a="1"/>
  <c r="B323" i="2" a="1"/>
  <c r="B647" i="2" a="1"/>
  <c r="B1162" i="2" a="1"/>
  <c r="B1201" i="2" a="1"/>
  <c r="B217" i="2" a="1"/>
  <c r="C1615" i="2" a="1"/>
  <c r="C583" i="2" a="1"/>
  <c r="B1918" i="2" a="1"/>
  <c r="B870" i="2" a="1"/>
  <c r="B943" i="2" a="1"/>
  <c r="B146" i="2" a="1"/>
  <c r="C623" i="2" a="1"/>
  <c r="B370" i="2" a="1"/>
  <c r="C410" i="2" a="1"/>
  <c r="B1510" i="2" a="1"/>
  <c r="B1599" i="2" a="1"/>
  <c r="B1173" i="2" a="1"/>
  <c r="B1158" i="2" a="1"/>
  <c r="B1227" i="2" a="1"/>
  <c r="C1255" i="2" a="1"/>
  <c r="C1049" i="2" a="1"/>
  <c r="C1681" i="2" a="1"/>
  <c r="B1455" i="2" a="1"/>
  <c r="C666" i="2" a="1"/>
  <c r="C1299" i="2" a="1"/>
  <c r="B841" i="2" a="1"/>
  <c r="C1189" i="2" a="1"/>
  <c r="C1919" i="2" a="1"/>
  <c r="B475" i="2" a="1"/>
  <c r="B1945" i="2" a="1"/>
  <c r="C979" i="2" a="1"/>
  <c r="C486" i="2" a="1"/>
  <c r="B1839" i="2" a="1"/>
  <c r="B450" i="2" a="1"/>
  <c r="C1216" i="2" a="1"/>
  <c r="B50" i="2" a="1"/>
  <c r="C1969" i="2" a="1"/>
  <c r="B344" i="2" a="1"/>
  <c r="C949" i="2" a="1"/>
  <c r="C1341" i="2" a="1"/>
  <c r="B1866" i="2" a="1"/>
  <c r="B1760" i="2" a="1"/>
  <c r="C916" i="2" a="1"/>
  <c r="B1328" i="2" a="1"/>
  <c r="C524" i="2" a="1"/>
  <c r="B1039" i="2" a="1"/>
  <c r="B570" i="2" a="1"/>
  <c r="B27" i="2" a="1"/>
  <c r="C1358" i="2" a="1"/>
  <c r="B1694" i="2" a="1"/>
  <c r="B1016" i="2" a="1"/>
  <c r="B1680" i="2" a="1"/>
  <c r="C1710" i="2" a="1"/>
  <c r="C303" i="2" a="1"/>
  <c r="B1251" i="2" a="1"/>
  <c r="C1920" i="2" a="1"/>
  <c r="C1375" i="2" a="1"/>
  <c r="B1964" i="2" a="1"/>
  <c r="B1862" i="2" a="1"/>
  <c r="C813" i="2" a="1"/>
  <c r="C1069" i="2" a="1"/>
  <c r="B1237" i="2" a="1"/>
  <c r="B1403" i="2" a="1"/>
  <c r="B1768" i="2" a="1"/>
  <c r="B1610" i="2" a="1"/>
  <c r="B1972" i="2" a="1"/>
  <c r="C517" i="2" a="1"/>
  <c r="B101" i="2" a="1"/>
  <c r="C901" i="2" a="1"/>
  <c r="C870" i="2" a="1"/>
  <c r="B1468" i="2" a="1"/>
  <c r="B1704" i="2" a="1"/>
  <c r="B1207" i="2" a="1"/>
  <c r="B1315" i="2" a="1"/>
  <c r="C679" i="2" a="1"/>
  <c r="C779" i="2" a="1"/>
  <c r="B234" i="2" a="1"/>
  <c r="C1903" i="2" a="1"/>
  <c r="B672" i="2" a="1"/>
  <c r="C1011" i="2" a="1"/>
  <c r="B427" i="2" a="1"/>
  <c r="B1484" i="2" a="1"/>
  <c r="B214" i="2" a="1"/>
  <c r="C1789" i="2" a="1"/>
  <c r="B928" i="2" a="1"/>
  <c r="C1925" i="2" a="1"/>
  <c r="B445" i="2" a="1"/>
  <c r="B1789" i="2" a="1"/>
  <c r="C1793" i="2" a="1"/>
  <c r="B880" i="2" a="1"/>
  <c r="C608" i="2" a="1"/>
  <c r="C703" i="2" a="1"/>
  <c r="B1413" i="2" a="1"/>
  <c r="B913" i="2" a="1"/>
  <c r="C639" i="2" a="1"/>
  <c r="C690" i="2" a="1"/>
  <c r="B1874" i="2" a="1"/>
  <c r="B1596" i="2" a="1"/>
  <c r="B1825" i="2" a="1"/>
  <c r="B854" i="2" a="1"/>
  <c r="B780" i="2" a="1"/>
  <c r="B1042" i="2" a="1"/>
  <c r="C1829" i="2" a="1"/>
  <c r="C803" i="2" a="1"/>
  <c r="C1696" i="2" a="1"/>
  <c r="C1221" i="2" a="1"/>
  <c r="B1539" i="2" a="1"/>
  <c r="C1757" i="2" a="1"/>
  <c r="B1803" i="2" a="1"/>
  <c r="B836" i="2" a="1"/>
  <c r="B71" i="2" a="1"/>
  <c r="C987" i="2" a="1"/>
  <c r="B204" i="2" a="1"/>
  <c r="B534" i="2" a="1"/>
  <c r="B687" i="2" a="1"/>
  <c r="B1487" i="2" a="1"/>
  <c r="B590" i="2" a="1"/>
  <c r="B1312" i="2" a="1"/>
  <c r="C665" i="2" a="1"/>
  <c r="B1909" i="2" a="1"/>
  <c r="B514" i="2" a="1"/>
  <c r="B1882" i="2" a="1"/>
  <c r="C1322" i="2" a="1"/>
  <c r="B1917" i="2" a="1"/>
  <c r="C864" i="2" a="1"/>
  <c r="C1823" i="2" a="1"/>
  <c r="B905" i="2" a="1"/>
  <c r="C1668" i="2" a="1"/>
  <c r="B1574" i="2" a="1"/>
  <c r="B638" i="2" a="1"/>
  <c r="C1944" i="2" a="1"/>
  <c r="C1264" i="2" a="1"/>
  <c r="C873" i="2" a="1"/>
  <c r="B91" i="2" a="1"/>
  <c r="B1793" i="2" a="1"/>
  <c r="B78" i="2" a="1"/>
  <c r="C1801" i="2" a="1"/>
  <c r="B1014" i="2" a="1"/>
  <c r="B948" i="2" a="1"/>
  <c r="B816" i="2" a="1"/>
  <c r="B1045" i="2" a="1"/>
  <c r="B80" i="2" a="1"/>
  <c r="C1647" i="2" a="1"/>
  <c r="C1503" i="2" a="1"/>
  <c r="B1241" i="2" a="1"/>
  <c r="C603" i="2" a="1"/>
  <c r="C1507" i="2" a="1"/>
  <c r="C1435" i="2" a="1"/>
  <c r="B1935" i="2" a="1"/>
  <c r="B1798" i="2" a="1"/>
  <c r="B398" i="2" a="1"/>
  <c r="C1270" i="2" a="1"/>
  <c r="C935" i="2" a="1"/>
  <c r="B1097" i="2" a="1"/>
  <c r="C878" i="2" a="1"/>
  <c r="B142" i="2" a="1"/>
  <c r="B1469" i="2" a="1"/>
  <c r="C1821" i="2" a="1"/>
  <c r="C566" i="2" a="1"/>
  <c r="C498" i="2" a="1"/>
  <c r="B1116" i="2" a="1"/>
  <c r="B1775" i="2" a="1"/>
  <c r="C506" i="2" a="1"/>
  <c r="C718" i="2" a="1"/>
  <c r="B263" i="2" a="1"/>
  <c r="B1518" i="2" a="1"/>
  <c r="C1856" i="2" a="1"/>
  <c r="C519" i="2" a="1"/>
  <c r="B1397" i="2" a="1"/>
  <c r="C1948" i="2" a="1"/>
  <c r="B273" i="2" a="1"/>
  <c r="C1123" i="2" a="1"/>
  <c r="B241" i="2" a="1"/>
  <c r="C1872" i="2" a="1"/>
  <c r="C641" i="2" a="1"/>
  <c r="C1922" i="2" a="1"/>
  <c r="B1890" i="2" a="1"/>
  <c r="C1955" i="2" a="1"/>
  <c r="B215" i="2" a="1"/>
  <c r="C1733" i="2" a="1"/>
  <c r="B302" i="2" a="1"/>
  <c r="B550" i="2" a="1"/>
  <c r="C638" i="2" a="1"/>
  <c r="B1215" i="2" a="1"/>
  <c r="C1181" i="2" a="1"/>
  <c r="B1457" i="2" a="1"/>
  <c r="B1031" i="2" a="1"/>
  <c r="B966" i="2" a="1"/>
  <c r="C659" i="2" a="1"/>
  <c r="C1319" i="2" a="1"/>
  <c r="B65" i="2" a="1"/>
  <c r="C452" i="2" a="1"/>
  <c r="C1421" i="2" a="1"/>
  <c r="C231" i="2" a="1"/>
  <c r="B1686" i="2" a="1"/>
  <c r="B1965" i="2" a="1"/>
  <c r="B909" i="2" a="1"/>
  <c r="C1813" i="2" a="1"/>
  <c r="B936" i="2" a="1"/>
  <c r="B1054" i="2" a="1"/>
  <c r="B1139" i="2" a="1"/>
  <c r="B737" i="2" a="1"/>
  <c r="B1239" i="2" a="1"/>
  <c r="C900" i="2" a="1"/>
  <c r="C1006" i="2" a="1"/>
  <c r="C1334" i="2" a="1"/>
  <c r="C1304" i="2" a="1"/>
  <c r="C203" i="2" a="1"/>
  <c r="B458" i="2" a="1"/>
  <c r="B942" i="2" a="1"/>
  <c r="B1815" i="2" a="1"/>
  <c r="C1047" i="2" a="1"/>
  <c r="C1268" i="2" a="1"/>
  <c r="C1601" i="2" a="1"/>
  <c r="C375" i="2" a="1"/>
  <c r="C1478" i="2" a="1"/>
  <c r="B820" i="2" a="1"/>
  <c r="C1344" i="2" a="1"/>
  <c r="C1409" i="2" a="1"/>
  <c r="B67" i="2" a="1"/>
  <c r="C1602" i="2" a="1"/>
  <c r="B970" i="2" a="1"/>
  <c r="C1464" i="2" a="1"/>
  <c r="C841" i="2" a="1"/>
  <c r="C777" i="2" a="1"/>
  <c r="C1135" i="2" a="1"/>
  <c r="B1515" i="2" a="1"/>
  <c r="B1751" i="2" a="1"/>
  <c r="C1329" i="2" a="1"/>
  <c r="C1528" i="2" a="1"/>
  <c r="C1138" i="2" a="1"/>
  <c r="C1452" i="2" a="1"/>
  <c r="B284" i="2" a="1"/>
  <c r="C587" i="2" a="1"/>
  <c r="B1548" i="2" a="1"/>
  <c r="B388" i="2" a="1"/>
  <c r="C869" i="2" a="1"/>
  <c r="C1520" i="2" a="1"/>
  <c r="C1506" i="2" a="1"/>
  <c r="C406" i="2" a="1"/>
  <c r="C1540" i="2" a="1"/>
  <c r="C1044" i="2" a="1"/>
  <c r="C781" i="2" a="1"/>
  <c r="C1608" i="2" a="1"/>
  <c r="C1767" i="2" a="1"/>
  <c r="C1725" i="2" a="1"/>
  <c r="B352" i="2" a="1"/>
  <c r="B789" i="2" a="1"/>
  <c r="C1646" i="2" a="1"/>
  <c r="B956" i="2" a="1"/>
  <c r="B760" i="2" a="1"/>
  <c r="B1664" i="2" a="1"/>
  <c r="C1750" i="2" a="1"/>
  <c r="C314" i="2" a="1"/>
  <c r="B1497" i="2" a="1"/>
  <c r="B320" i="2" a="1"/>
  <c r="C458" i="2" a="1"/>
  <c r="C1910" i="2" a="1"/>
  <c r="B1812" i="2" a="1"/>
  <c r="B708" i="2" a="1"/>
  <c r="B1814" i="2" a="1"/>
  <c r="B521" i="2" a="1"/>
  <c r="B1152" i="2" a="1"/>
  <c r="C1770" i="2" a="1"/>
  <c r="C50" i="2" a="1"/>
  <c r="B125" i="2" a="1"/>
  <c r="B1254" i="2" a="1"/>
  <c r="C1819" i="2" a="1"/>
  <c r="B247" i="2" a="1"/>
  <c r="B412" i="2" a="1"/>
  <c r="B88" i="2" a="1"/>
  <c r="C1384" i="2" a="1"/>
  <c r="C903" i="2" a="1"/>
  <c r="B844" i="2" a="1"/>
  <c r="B527" i="2" a="1"/>
  <c r="B371" i="2" a="1"/>
  <c r="B1212" i="2" a="1"/>
  <c r="C1558" i="2" a="1"/>
  <c r="B1078" i="2" a="1"/>
  <c r="B236" i="2" a="1"/>
  <c r="B716" i="2" a="1"/>
  <c r="B1878" i="2" a="1"/>
  <c r="C976" i="2" a="1"/>
  <c r="C1945" i="2" a="1"/>
  <c r="C1971" i="2" a="1"/>
  <c r="B1187" i="2" a="1"/>
  <c r="C1864" i="2" a="1"/>
  <c r="B833" i="2" a="1"/>
  <c r="C1430" i="2" a="1"/>
  <c r="B310" i="2" a="1"/>
  <c r="C488" i="2" a="1"/>
  <c r="C888" i="2" a="1"/>
  <c r="B1387" i="2" a="1"/>
  <c r="C294" i="2" a="1"/>
  <c r="B506" i="2" a="1"/>
  <c r="B1778" i="2" a="1"/>
  <c r="B601" i="2" a="1"/>
  <c r="C1626" i="2" a="1"/>
  <c r="C353" i="2" a="1"/>
  <c r="C1711" i="2" a="1"/>
  <c r="B1423" i="2" a="1"/>
  <c r="C737" i="2" a="1"/>
  <c r="B139" i="2" a="1"/>
  <c r="C929" i="2" a="1"/>
  <c r="C1282" i="2" a="1"/>
  <c r="B1630" i="2" a="1"/>
  <c r="C445" i="2" a="1"/>
  <c r="C1510" i="2" a="1"/>
  <c r="C1037" i="2" a="1"/>
  <c r="C1182" i="2" a="1"/>
  <c r="C1082" i="2" a="1"/>
  <c r="B127" i="2" a="1"/>
  <c r="C993" i="2" a="1"/>
  <c r="C400" i="2" a="1"/>
  <c r="C376" i="2" a="1"/>
  <c r="C1499" i="2" a="1"/>
  <c r="B1370" i="2" a="1"/>
  <c r="B529" i="2" a="1"/>
  <c r="B5" i="2" a="1"/>
  <c r="B1089" i="2" a="1"/>
  <c r="C1232" i="2" a="1"/>
  <c r="C344" i="2" a="1"/>
  <c r="B1845" i="2" a="1"/>
  <c r="C811" i="2" a="1"/>
  <c r="B981" i="2" a="1"/>
  <c r="B739" i="2" a="1"/>
  <c r="B119" i="2" a="1"/>
  <c r="B1560" i="2" a="1"/>
  <c r="B405" i="2" a="1"/>
  <c r="C373" i="2" a="1"/>
  <c r="C975" i="2" a="1"/>
  <c r="C820" i="2" a="1"/>
  <c r="B1198" i="2" a="1"/>
  <c r="B1365" i="2" a="1"/>
  <c r="B989" i="2" a="1"/>
  <c r="B1943" i="2" a="1"/>
  <c r="B1094" i="2" a="1"/>
  <c r="C1549" i="2" a="1"/>
  <c r="B1591" i="2" a="1"/>
  <c r="C1491" i="2" a="1"/>
  <c r="C459" i="2" a="1"/>
  <c r="B639" i="2" a="1"/>
  <c r="B558" i="2" a="1"/>
  <c r="C246" i="2" a="1"/>
  <c r="B613" i="2" a="1"/>
  <c r="C485" i="2" a="1"/>
  <c r="C617" i="2" a="1"/>
  <c r="B1838" i="2" a="1"/>
  <c r="C1364" i="2" a="1"/>
  <c r="B1691" i="2" a="1"/>
  <c r="C416" i="2" a="1"/>
  <c r="B665" i="2" a="1"/>
  <c r="C827" i="2" a="1"/>
  <c r="C440" i="2" a="1"/>
  <c r="C989" i="2" a="1"/>
  <c r="B197" i="2" a="1"/>
  <c r="B1366" i="2" a="1"/>
  <c r="C1284" i="2" a="1"/>
  <c r="B662" i="2" a="1"/>
  <c r="C1494" i="2" a="1"/>
  <c r="B220" i="2" a="1"/>
  <c r="B924" i="2" a="1"/>
  <c r="C1154" i="2" a="1"/>
  <c r="B733" i="2" a="1"/>
  <c r="C1111" i="2" a="1"/>
  <c r="C1667" i="2" a="1"/>
  <c r="C1079" i="2" a="1"/>
  <c r="C513" i="2" a="1"/>
  <c r="B630" i="2" a="1"/>
  <c r="C1906" i="2" a="1"/>
  <c r="C370" i="2" a="1"/>
  <c r="B429" i="2" a="1"/>
  <c r="C752" i="2" a="1"/>
  <c r="B670" i="2" a="1"/>
  <c r="B704" i="2" a="1"/>
  <c r="C306" i="2" a="1"/>
  <c r="C1085" i="2" a="1"/>
  <c r="C51" i="2" a="1"/>
  <c r="B1092" i="2" a="1"/>
  <c r="B264" i="2" a="1"/>
  <c r="B902" i="2" a="1"/>
  <c r="B1170" i="2" a="1"/>
  <c r="B750" i="2" a="1"/>
  <c r="C1715" i="2" a="1"/>
  <c r="C1761" i="2" a="1"/>
  <c r="B1665" i="2" a="1"/>
  <c r="C1054" i="2" a="1"/>
  <c r="B1047" i="2" a="1"/>
  <c r="B522" i="2" a="1"/>
  <c r="C1041" i="2" a="1"/>
  <c r="B109" i="2" a="1"/>
  <c r="C721" i="2" a="1"/>
  <c r="B188" i="2" a="1"/>
  <c r="C1665" i="2" a="1"/>
  <c r="B1118" i="2" a="1"/>
  <c r="C1751" i="2" a="1"/>
  <c r="C887" i="2" a="1"/>
  <c r="B1684" i="2" a="1"/>
  <c r="B606" i="2" a="1"/>
  <c r="C1912" i="2" a="1"/>
  <c r="B51" i="2" a="1"/>
  <c r="C1410" i="2" a="1"/>
  <c r="C204" i="2" a="1"/>
  <c r="B1084" i="2" a="1"/>
  <c r="C848" i="2" a="1"/>
  <c r="B79" i="2" a="1"/>
  <c r="C802" i="2" a="1"/>
  <c r="B1404" i="2" a="1"/>
  <c r="B1910" i="2" a="1"/>
  <c r="C257" i="2" a="1"/>
  <c r="B815" i="2" a="1"/>
  <c r="C1287" i="2" a="1"/>
  <c r="C1598" i="2" a="1"/>
  <c r="C343" i="2" a="1"/>
  <c r="B1051" i="2" a="1"/>
  <c r="B436" i="2" a="1"/>
  <c r="B992" i="2" a="1"/>
  <c r="C1213" i="2" a="1"/>
  <c r="B190" i="2" a="1"/>
  <c r="B867" i="2" a="1"/>
  <c r="C515" i="2" a="1"/>
  <c r="C302" i="2" a="1"/>
  <c r="B66" i="2" a="1"/>
  <c r="C674" i="2" a="1"/>
  <c r="B1023" i="2" a="1"/>
  <c r="B877" i="2" a="1"/>
  <c r="B1192" i="2" a="1"/>
  <c r="B199" i="2" a="1"/>
  <c r="B106" i="2" a="1"/>
  <c r="C956" i="2" a="1"/>
  <c r="C263" i="2" a="1"/>
  <c r="B799" i="2" a="1"/>
  <c r="C1145" i="2" a="1"/>
  <c r="C1677" i="2" a="1"/>
  <c r="C1697" i="2" a="1"/>
  <c r="C326" i="2" a="1"/>
  <c r="B1044" i="2" a="1"/>
  <c r="C1094" i="2" a="1"/>
  <c r="B800" i="2" a="1"/>
  <c r="B957" i="2" a="1"/>
  <c r="C1335" i="2" a="1"/>
  <c r="B1765" i="2" a="1"/>
  <c r="C48" i="2" a="1"/>
  <c r="B1163" i="2" a="1"/>
  <c r="C1571" i="2" a="1"/>
  <c r="B1747" i="2" a="1"/>
  <c r="C1880" i="2" a="1"/>
  <c r="B1085" i="2" a="1"/>
  <c r="B1304" i="2" a="1"/>
  <c r="B457" i="2" a="1"/>
  <c r="C1634" i="2" a="1"/>
  <c r="C1784" i="2" a="1"/>
  <c r="C1952" i="2" a="1"/>
  <c r="C1258" i="2" a="1"/>
  <c r="B1915" i="2" a="1"/>
  <c r="B586" i="2" a="1"/>
  <c r="C1913" i="2" a="1"/>
  <c r="B891" i="2" a="1"/>
  <c r="C662" i="2" a="1"/>
  <c r="B1266" i="2" a="1"/>
  <c r="C1132" i="2" a="1"/>
  <c r="B64" i="2" a="1"/>
  <c r="B177" i="2" a="1"/>
  <c r="C1294" i="2" a="1"/>
  <c r="B584" i="2" a="1"/>
  <c r="B465" i="2" a="1"/>
  <c r="B1498" i="2" a="1"/>
  <c r="C825" i="2" a="1"/>
  <c r="B22" i="2" a="1"/>
  <c r="C1144" i="2" a="1"/>
  <c r="B1960" i="2" a="1"/>
  <c r="C1704" i="2" a="1"/>
  <c r="B1454" i="2" a="1"/>
  <c r="B1307" i="2" a="1"/>
  <c r="B658" i="2" a="1"/>
  <c r="C960" i="2" a="1"/>
  <c r="C1126" i="2" a="1"/>
  <c r="C1657" i="2" a="1"/>
  <c r="B299" i="2" a="1"/>
  <c r="B1938" i="2" a="1"/>
  <c r="B1070" i="2" a="1"/>
  <c r="B1959" i="2" a="1"/>
  <c r="C1309" i="2" a="1"/>
  <c r="C1790" i="2" a="1"/>
  <c r="C1526" i="2" a="1"/>
  <c r="B953" i="2" a="1"/>
  <c r="C926" i="2" a="1"/>
  <c r="B1209" i="2" a="1"/>
  <c r="C1376" i="2" a="1"/>
  <c r="C1239" i="2" a="1"/>
  <c r="C1860" i="2" a="1"/>
  <c r="C1219" i="2" a="1"/>
  <c r="B1668" i="2" a="1"/>
  <c r="B1950" i="2" a="1"/>
  <c r="C532" i="2" a="1"/>
  <c r="C1318" i="2" a="1"/>
  <c r="B1859" i="2" a="1"/>
  <c r="C758" i="2" a="1"/>
  <c r="C809" i="2" a="1"/>
  <c r="C1712" i="2" a="1"/>
  <c r="B1316" i="2" a="1"/>
  <c r="C490" i="2" a="1"/>
  <c r="B634" i="2" a="1"/>
  <c r="B1834" i="2" a="1"/>
  <c r="C1653" i="2" a="1"/>
  <c r="C1619" i="2" a="1"/>
  <c r="B605" i="2" a="1"/>
  <c r="C265" i="2" a="1"/>
  <c r="C1774" i="2" a="1"/>
  <c r="C293" i="2" a="1"/>
  <c r="C1397" i="2" a="1"/>
  <c r="B1262" i="2" a="1"/>
  <c r="B897" i="2" a="1"/>
  <c r="B1737" i="2" a="1"/>
  <c r="C1554" i="2" a="1"/>
  <c r="C717" i="2" a="1"/>
  <c r="B414" i="2" a="1"/>
  <c r="C1428" i="2" a="1"/>
  <c r="B787" i="2" a="1"/>
  <c r="B233" i="2" a="1"/>
  <c r="C428" i="2" a="1"/>
  <c r="C998" i="2" a="1"/>
  <c r="B504" i="2" a="1"/>
  <c r="B1157" i="2" a="1"/>
  <c r="B1924" i="2" a="1"/>
  <c r="B1351" i="2" a="1"/>
  <c r="B1570" i="2" a="1"/>
  <c r="B454" i="2" a="1"/>
  <c r="C1292" i="2" a="1"/>
  <c r="C1562" i="2" a="1"/>
  <c r="C1433" i="2" a="1"/>
  <c r="B767" i="2" a="1"/>
  <c r="C788" i="2" a="1"/>
  <c r="B1324" i="2" a="1"/>
  <c r="C1107" i="2" a="1"/>
  <c r="C242" i="2" a="1"/>
  <c r="C1818" i="2" a="1"/>
  <c r="B793" i="2" a="1"/>
  <c r="C1691" i="2" a="1"/>
  <c r="B14" i="2" a="1"/>
  <c r="B543" i="2" a="1"/>
  <c r="C1354" i="2" a="1"/>
  <c r="B1720" i="2" a="1"/>
  <c r="B1608" i="2" a="1"/>
  <c r="B193" i="2" a="1"/>
  <c r="C1787" i="2" a="1"/>
  <c r="C1072" i="2" a="1"/>
  <c r="B937" i="2" a="1"/>
  <c r="B1446" i="2" a="1"/>
  <c r="B1462" i="2" a="1"/>
  <c r="B1718" i="2" a="1"/>
  <c r="B711" i="2" a="1"/>
  <c r="B1541" i="2" a="1"/>
  <c r="B1711" i="2" a="1"/>
  <c r="B1177" i="2" a="1"/>
  <c r="C393" i="2" a="1"/>
  <c r="B169" i="2" a="1"/>
  <c r="B1167" i="2" a="1"/>
  <c r="B186" i="2" a="1"/>
  <c r="B1923" i="2" a="1"/>
  <c r="B96" i="2" a="1"/>
  <c r="C496" i="2" a="1"/>
  <c r="B1889" i="2" a="1"/>
  <c r="B1513" i="2" a="1"/>
  <c r="C700" i="2" a="1"/>
  <c r="C1020" i="2" a="1"/>
  <c r="B334" i="2" a="1"/>
  <c r="C1168" i="2" a="1"/>
  <c r="C1839" i="2" a="1"/>
  <c r="B1899" i="2" a="1"/>
  <c r="B881" i="2" a="1"/>
  <c r="B1728" i="2" a="1"/>
  <c r="B906" i="2" a="1"/>
  <c r="C264" i="2" a="1"/>
  <c r="C736" i="2" a="1"/>
  <c r="B749" i="2" a="1"/>
  <c r="C497" i="2" a="1"/>
  <c r="C1817" i="2" a="1"/>
  <c r="B869" i="2" a="1"/>
  <c r="C285" i="2" a="1"/>
  <c r="B1526" i="2" a="1"/>
  <c r="C1468" i="2" a="1"/>
  <c r="C833" i="2" a="1"/>
  <c r="C1741" i="2" a="1"/>
  <c r="B1740" i="2" a="1"/>
  <c r="C1485" i="2" a="1"/>
  <c r="C1810" i="2" a="1"/>
  <c r="B1955" i="2" a="1"/>
  <c r="B731" i="2" a="1"/>
  <c r="B846" i="2" a="1"/>
  <c r="C239" i="2" a="1"/>
  <c r="B524" i="2" a="1"/>
  <c r="C800" i="2" a="1"/>
  <c r="B443" i="2" a="1"/>
  <c r="B136" i="2" a="1"/>
  <c r="B311" i="2" a="1"/>
  <c r="C663" i="2" a="1"/>
  <c r="C49" i="2" a="1"/>
  <c r="B935" i="2" a="1"/>
  <c r="C1215" i="2" a="1"/>
  <c r="C1369" i="2" a="1"/>
  <c r="B1880" i="2" a="1"/>
  <c r="C1695" i="2" a="1"/>
  <c r="C582" i="2" a="1"/>
  <c r="C298" i="2" a="1"/>
  <c r="B1781" i="2" a="1"/>
  <c r="B1893" i="2" a="1"/>
  <c r="B673" i="2" a="1"/>
  <c r="C729" i="2" a="1"/>
  <c r="C1038" i="2" a="1"/>
  <c r="C1210" i="2" a="1"/>
  <c r="C1057" i="2" a="1"/>
  <c r="B1567" i="2" a="1"/>
  <c r="B823" i="2" a="1"/>
  <c r="C744" i="2" a="1"/>
  <c r="B761" i="2" a="1"/>
  <c r="B633" i="2" a="1"/>
  <c r="C1245" i="2" a="1"/>
  <c r="B1432" i="2" a="1"/>
  <c r="B1721" i="2" a="1"/>
  <c r="B1507" i="2" a="1"/>
  <c r="B832" i="2" a="1"/>
  <c r="B875" i="2" a="1"/>
  <c r="C1878" i="2" a="1"/>
  <c r="C1180" i="2" a="1"/>
  <c r="B1028" i="2" a="1"/>
  <c r="B701" i="2" a="1"/>
  <c r="C1125" i="2" a="1"/>
  <c r="B1634" i="2" a="1"/>
  <c r="C262" i="2" a="1"/>
  <c r="C352" i="2" a="1"/>
  <c r="B1819" i="2" a="1"/>
  <c r="C947" i="2" a="1"/>
  <c r="C974" i="2" a="1"/>
  <c r="B1818" i="2" a="1"/>
  <c r="B855" i="2" a="1"/>
  <c r="C997" i="2" a="1"/>
  <c r="C558" i="2" a="1"/>
  <c r="C461" i="2" a="1"/>
  <c r="B221" i="2" a="1"/>
  <c r="B1233" i="2" a="1"/>
  <c r="B417" i="2" a="1"/>
  <c r="C895" i="2" a="1"/>
  <c r="B1196" i="2" a="1"/>
  <c r="C509" i="2" a="1"/>
  <c r="C1455" i="2" a="1"/>
  <c r="C1289" i="2" a="1"/>
  <c r="C1222" i="2" a="1"/>
  <c r="B1671" i="2" a="1"/>
  <c r="C1524" i="2" a="1"/>
  <c r="C596" i="2" a="1"/>
  <c r="B1493" i="2" a="1"/>
  <c r="C704" i="2" a="1"/>
  <c r="B610" i="2" a="1"/>
  <c r="C1461" i="2" a="1"/>
  <c r="B2" i="290"/>
  <c r="C405" i="2" a="1"/>
  <c r="C1827" i="2" a="1"/>
  <c r="B1555" i="2" a="1"/>
  <c r="C1723" i="2" a="1"/>
  <c r="B340" i="2" a="1"/>
  <c r="B947" i="2" a="1"/>
  <c r="B2" i="2" a="1"/>
  <c r="C1212" i="2" a="1"/>
  <c r="B1200" i="2" a="1"/>
  <c r="C1380" i="2" a="1"/>
  <c r="C510" i="2" a="1"/>
  <c r="C1488" i="2" a="1"/>
  <c r="C1377" i="2" a="1"/>
  <c r="B1542" i="2" a="1"/>
  <c r="C1209" i="2" a="1"/>
  <c r="C1191" i="2" a="1"/>
  <c r="B1919" i="2" a="1"/>
  <c r="C1260" i="2" a="1"/>
  <c r="B1762" i="2" a="1"/>
  <c r="B582" i="2" a="1"/>
  <c r="C1590" i="2" a="1"/>
  <c r="B1628" i="2" a="1"/>
  <c r="B141" i="2" a="1"/>
  <c r="C894" i="2" a="1"/>
  <c r="C484" i="2" a="1"/>
  <c r="C954" i="2" a="1"/>
  <c r="C1814" i="2" a="1"/>
  <c r="B1399" i="2" a="1"/>
  <c r="B158" i="2" a="1"/>
  <c r="B397" i="2" a="1"/>
  <c r="B1416" i="2" a="1"/>
  <c r="B1234" i="2" a="1"/>
  <c r="C1643" i="2" a="1"/>
  <c r="C1173" i="2" a="1"/>
  <c r="C973" i="2" a="1"/>
  <c r="C331" i="2" a="1"/>
  <c r="B781" i="2" a="1"/>
  <c r="B1601" i="2" a="1"/>
  <c r="B1811" i="2" a="1"/>
  <c r="C1871" i="2" a="1"/>
  <c r="B631" i="2" a="1"/>
  <c r="C1689" i="2" a="1"/>
  <c r="B847" i="2" a="1"/>
  <c r="C856" i="2" a="1"/>
  <c r="B1194" i="2" a="1"/>
  <c r="B1963" i="2" a="1"/>
  <c r="B1605" i="2" a="1"/>
  <c r="B1946" i="2" a="1"/>
  <c r="B1619" i="2" a="1"/>
  <c r="B1723" i="2" a="1"/>
  <c r="C1836" i="2" a="1"/>
  <c r="C1804" i="2" a="1"/>
  <c r="B655" i="2" a="1"/>
  <c r="C794" i="2" a="1"/>
  <c r="C1141" i="2" a="1"/>
  <c r="B1424" i="2" a="1"/>
  <c r="C429" i="2" a="1"/>
  <c r="C429" i="2" l="1"/>
  <c r="B1424" i="2"/>
  <c r="C1141" i="2"/>
  <c r="C794" i="2"/>
  <c r="B655" i="2"/>
  <c r="C1804" i="2"/>
  <c r="C1836" i="2"/>
  <c r="B1723" i="2"/>
  <c r="B1619" i="2"/>
  <c r="B1946" i="2"/>
  <c r="B1605" i="2"/>
  <c r="B1963" i="2"/>
  <c r="B1194" i="2"/>
  <c r="C856" i="2"/>
  <c r="B847" i="2"/>
  <c r="C1689" i="2"/>
  <c r="B631" i="2"/>
  <c r="C1871" i="2"/>
  <c r="B1811" i="2"/>
  <c r="B1601" i="2"/>
  <c r="B781" i="2"/>
  <c r="C331" i="2"/>
  <c r="C973" i="2"/>
  <c r="C1173" i="2"/>
  <c r="C1643" i="2"/>
  <c r="B1234" i="2"/>
  <c r="B1416" i="2"/>
  <c r="B397" i="2"/>
  <c r="B158" i="2"/>
  <c r="B1399" i="2"/>
  <c r="C1814" i="2"/>
  <c r="C954" i="2"/>
  <c r="C484" i="2"/>
  <c r="C894" i="2"/>
  <c r="B141" i="2"/>
  <c r="B1628" i="2"/>
  <c r="C1590" i="2"/>
  <c r="B582" i="2"/>
  <c r="B1762" i="2"/>
  <c r="C1260" i="2"/>
  <c r="B1919" i="2"/>
  <c r="C1191" i="2"/>
  <c r="C1209" i="2"/>
  <c r="B1542" i="2"/>
  <c r="C1377" i="2"/>
  <c r="C1488" i="2"/>
  <c r="C510" i="2"/>
  <c r="C1380" i="2"/>
  <c r="B1200" i="2"/>
  <c r="C1212" i="2"/>
  <c r="B2" i="2"/>
  <c r="B947" i="2"/>
  <c r="B340" i="2"/>
  <c r="C1723" i="2"/>
  <c r="B1555" i="2"/>
  <c r="C1827" i="2"/>
  <c r="C405" i="2"/>
  <c r="C1461" i="2"/>
  <c r="B610" i="2"/>
  <c r="C704" i="2"/>
  <c r="B1493" i="2"/>
  <c r="C596" i="2"/>
  <c r="C1524" i="2"/>
  <c r="B1671" i="2"/>
  <c r="C1222" i="2"/>
  <c r="C1289" i="2"/>
  <c r="C1455" i="2"/>
  <c r="C509" i="2"/>
  <c r="B1196" i="2"/>
  <c r="C895" i="2"/>
  <c r="B417" i="2"/>
  <c r="B1233" i="2"/>
  <c r="B221" i="2"/>
  <c r="C461" i="2"/>
  <c r="C558" i="2"/>
  <c r="C997" i="2"/>
  <c r="B855" i="2"/>
  <c r="B1818" i="2"/>
  <c r="C974" i="2"/>
  <c r="C947" i="2"/>
  <c r="B1819" i="2"/>
  <c r="C352" i="2"/>
  <c r="C262" i="2"/>
  <c r="B1634" i="2"/>
  <c r="C1125" i="2"/>
  <c r="B701" i="2"/>
  <c r="B1028" i="2"/>
  <c r="C1180" i="2"/>
  <c r="C1878" i="2"/>
  <c r="B875" i="2"/>
  <c r="B832" i="2"/>
  <c r="B1507" i="2"/>
  <c r="B1721" i="2"/>
  <c r="B1432" i="2"/>
  <c r="C1245" i="2"/>
  <c r="B633" i="2"/>
  <c r="B761" i="2"/>
  <c r="C744" i="2"/>
  <c r="B823" i="2"/>
  <c r="B1567" i="2"/>
  <c r="C1057" i="2"/>
  <c r="C1210" i="2"/>
  <c r="C1038" i="2"/>
  <c r="C729" i="2"/>
  <c r="B673" i="2"/>
  <c r="B1893" i="2"/>
  <c r="B1781" i="2"/>
  <c r="C298" i="2"/>
  <c r="C582" i="2"/>
  <c r="C1695" i="2"/>
  <c r="B1880" i="2"/>
  <c r="C1369" i="2"/>
  <c r="C1215" i="2"/>
  <c r="B935" i="2"/>
  <c r="C49" i="2"/>
  <c r="C663" i="2"/>
  <c r="B311" i="2"/>
  <c r="B136" i="2"/>
  <c r="B443" i="2"/>
  <c r="C800" i="2"/>
  <c r="B524" i="2"/>
  <c r="C239" i="2"/>
  <c r="B846" i="2"/>
  <c r="B731" i="2"/>
  <c r="B1955" i="2"/>
  <c r="C1810" i="2"/>
  <c r="C1485" i="2"/>
  <c r="B1740" i="2"/>
  <c r="C1741" i="2"/>
  <c r="C833" i="2"/>
  <c r="C1468" i="2"/>
  <c r="B1526" i="2"/>
  <c r="C285" i="2"/>
  <c r="B869" i="2"/>
  <c r="C1817" i="2"/>
  <c r="C497" i="2"/>
  <c r="B749" i="2"/>
  <c r="C736" i="2"/>
  <c r="C264" i="2"/>
  <c r="B906" i="2"/>
  <c r="B1728" i="2"/>
  <c r="B881" i="2"/>
  <c r="B1899" i="2"/>
  <c r="C1839" i="2"/>
  <c r="C1168" i="2"/>
  <c r="B334" i="2"/>
  <c r="C1020" i="2"/>
  <c r="C700" i="2"/>
  <c r="B1513" i="2"/>
  <c r="B1889" i="2"/>
  <c r="C496" i="2"/>
  <c r="B96" i="2"/>
  <c r="B1923" i="2"/>
  <c r="B186" i="2"/>
  <c r="B1167" i="2"/>
  <c r="B169" i="2"/>
  <c r="C393" i="2"/>
  <c r="B1177" i="2"/>
  <c r="B1711" i="2"/>
  <c r="B1541" i="2"/>
  <c r="B711" i="2"/>
  <c r="B1718" i="2"/>
  <c r="B1462" i="2"/>
  <c r="B1446" i="2"/>
  <c r="B937" i="2"/>
  <c r="C1072" i="2"/>
  <c r="C1787" i="2"/>
  <c r="B193" i="2"/>
  <c r="B1608" i="2"/>
  <c r="B1720" i="2"/>
  <c r="C1354" i="2"/>
  <c r="B543" i="2"/>
  <c r="B14" i="2"/>
  <c r="C1691" i="2"/>
  <c r="B793" i="2"/>
  <c r="C1818" i="2"/>
  <c r="C242" i="2"/>
  <c r="C1107" i="2"/>
  <c r="B1324" i="2"/>
  <c r="C788" i="2"/>
  <c r="B767" i="2"/>
  <c r="C1433" i="2"/>
  <c r="C1562" i="2"/>
  <c r="C1292" i="2"/>
  <c r="B454" i="2"/>
  <c r="B1570" i="2"/>
  <c r="B1351" i="2"/>
  <c r="B1924" i="2"/>
  <c r="B1157" i="2"/>
  <c r="B504" i="2"/>
  <c r="C998" i="2"/>
  <c r="C428" i="2"/>
  <c r="B233" i="2"/>
  <c r="B787" i="2"/>
  <c r="C1428" i="2"/>
  <c r="B414" i="2"/>
  <c r="C717" i="2"/>
  <c r="C1554" i="2"/>
  <c r="B1737" i="2"/>
  <c r="B897" i="2"/>
  <c r="B1262" i="2"/>
  <c r="C1397" i="2"/>
  <c r="C293" i="2"/>
  <c r="C1774" i="2"/>
  <c r="C265" i="2"/>
  <c r="B605" i="2"/>
  <c r="C1619" i="2"/>
  <c r="C1653" i="2"/>
  <c r="B1834" i="2"/>
  <c r="B634" i="2"/>
  <c r="C490" i="2"/>
  <c r="B1316" i="2"/>
  <c r="C1712" i="2"/>
  <c r="C809" i="2"/>
  <c r="C758" i="2"/>
  <c r="B1859" i="2"/>
  <c r="C1318" i="2"/>
  <c r="C532" i="2"/>
  <c r="B1950" i="2"/>
  <c r="B1668" i="2"/>
  <c r="C1219" i="2"/>
  <c r="C1860" i="2"/>
  <c r="C1239" i="2"/>
  <c r="C1376" i="2"/>
  <c r="B1209" i="2"/>
  <c r="C926" i="2"/>
  <c r="B953" i="2"/>
  <c r="C1526" i="2"/>
  <c r="C1790" i="2"/>
  <c r="C1309" i="2"/>
  <c r="B1959" i="2"/>
  <c r="B1070" i="2"/>
  <c r="B1938" i="2"/>
  <c r="B299" i="2"/>
  <c r="C1657" i="2"/>
  <c r="C1126" i="2"/>
  <c r="C960" i="2"/>
  <c r="B658" i="2"/>
  <c r="B1307" i="2"/>
  <c r="B1454" i="2"/>
  <c r="C1704" i="2"/>
  <c r="B1960" i="2"/>
  <c r="C1144" i="2"/>
  <c r="B22" i="2"/>
  <c r="C825" i="2"/>
  <c r="B1498" i="2"/>
  <c r="B465" i="2"/>
  <c r="B584" i="2"/>
  <c r="C1294" i="2"/>
  <c r="B177" i="2"/>
  <c r="B64" i="2"/>
  <c r="C1132" i="2"/>
  <c r="B1266" i="2"/>
  <c r="C662" i="2"/>
  <c r="B891" i="2"/>
  <c r="C1913" i="2"/>
  <c r="B586" i="2"/>
  <c r="B1915" i="2"/>
  <c r="C1258" i="2"/>
  <c r="C1952" i="2"/>
  <c r="C1784" i="2"/>
  <c r="C1634" i="2"/>
  <c r="B457" i="2"/>
  <c r="B1304" i="2"/>
  <c r="B1085" i="2"/>
  <c r="C1880" i="2"/>
  <c r="B1747" i="2"/>
  <c r="C1571" i="2"/>
  <c r="B1163" i="2"/>
  <c r="C48" i="2"/>
  <c r="B1765" i="2"/>
  <c r="C1335" i="2"/>
  <c r="B957" i="2"/>
  <c r="B800" i="2"/>
  <c r="C1094" i="2"/>
  <c r="B1044" i="2"/>
  <c r="C326" i="2"/>
  <c r="C1697" i="2"/>
  <c r="C1677" i="2"/>
  <c r="C1145" i="2"/>
  <c r="B799" i="2"/>
  <c r="C263" i="2"/>
  <c r="C956" i="2"/>
  <c r="B106" i="2"/>
  <c r="B199" i="2"/>
  <c r="B1192" i="2"/>
  <c r="B877" i="2"/>
  <c r="B1023" i="2"/>
  <c r="C674" i="2"/>
  <c r="B66" i="2"/>
  <c r="C302" i="2"/>
  <c r="C515" i="2"/>
  <c r="B867" i="2"/>
  <c r="B190" i="2"/>
  <c r="C1213" i="2"/>
  <c r="B992" i="2"/>
  <c r="B436" i="2"/>
  <c r="B1051" i="2"/>
  <c r="C343" i="2"/>
  <c r="C1598" i="2"/>
  <c r="C1287" i="2"/>
  <c r="B815" i="2"/>
  <c r="C257" i="2"/>
  <c r="B1910" i="2"/>
  <c r="B1404" i="2"/>
  <c r="C802" i="2"/>
  <c r="B79" i="2"/>
  <c r="C848" i="2"/>
  <c r="B1084" i="2"/>
  <c r="C204" i="2"/>
  <c r="C1410" i="2"/>
  <c r="B51" i="2"/>
  <c r="C1912" i="2"/>
  <c r="B606" i="2"/>
  <c r="B1684" i="2"/>
  <c r="C887" i="2"/>
  <c r="C1751" i="2"/>
  <c r="B1118" i="2"/>
  <c r="C1665" i="2"/>
  <c r="B188" i="2"/>
  <c r="C721" i="2"/>
  <c r="B109" i="2"/>
  <c r="C1041" i="2"/>
  <c r="B522" i="2"/>
  <c r="B1047" i="2"/>
  <c r="C1054" i="2"/>
  <c r="B1665" i="2"/>
  <c r="C1761" i="2"/>
  <c r="C1715" i="2"/>
  <c r="B750" i="2"/>
  <c r="B1170" i="2"/>
  <c r="B902" i="2"/>
  <c r="B264" i="2"/>
  <c r="B1092" i="2"/>
  <c r="C51" i="2"/>
  <c r="C1085" i="2"/>
  <c r="C306" i="2"/>
  <c r="B704" i="2"/>
  <c r="B670" i="2"/>
  <c r="C752" i="2"/>
  <c r="B429" i="2"/>
  <c r="C370" i="2"/>
  <c r="C1906" i="2"/>
  <c r="B630" i="2"/>
  <c r="C513" i="2"/>
  <c r="C1079" i="2"/>
  <c r="C1667" i="2"/>
  <c r="C1111" i="2"/>
  <c r="B733" i="2"/>
  <c r="C1154" i="2"/>
  <c r="B924" i="2"/>
  <c r="B220" i="2"/>
  <c r="C1494" i="2"/>
  <c r="B662" i="2"/>
  <c r="C1284" i="2"/>
  <c r="B1366" i="2"/>
  <c r="B197" i="2"/>
  <c r="C989" i="2"/>
  <c r="C440" i="2"/>
  <c r="C827" i="2"/>
  <c r="B665" i="2"/>
  <c r="C416" i="2"/>
  <c r="B1691" i="2"/>
  <c r="C1364" i="2"/>
  <c r="B1838" i="2"/>
  <c r="C617" i="2"/>
  <c r="C485" i="2"/>
  <c r="B613" i="2"/>
  <c r="C246" i="2"/>
  <c r="B558" i="2"/>
  <c r="B639" i="2"/>
  <c r="C459" i="2"/>
  <c r="C1491" i="2"/>
  <c r="B1591" i="2"/>
  <c r="C1549" i="2"/>
  <c r="B1094" i="2"/>
  <c r="B1943" i="2"/>
  <c r="B989" i="2"/>
  <c r="B1365" i="2"/>
  <c r="B1198" i="2"/>
  <c r="C820" i="2"/>
  <c r="C975" i="2"/>
  <c r="C373" i="2"/>
  <c r="B405" i="2"/>
  <c r="B1560" i="2"/>
  <c r="B119" i="2"/>
  <c r="B739" i="2"/>
  <c r="B981" i="2"/>
  <c r="C811" i="2"/>
  <c r="B1845" i="2"/>
  <c r="C344" i="2"/>
  <c r="C1232" i="2"/>
  <c r="B1089" i="2"/>
  <c r="B5" i="2"/>
  <c r="B529" i="2"/>
  <c r="B1370" i="2"/>
  <c r="C1499" i="2"/>
  <c r="C376" i="2"/>
  <c r="C400" i="2"/>
  <c r="C993" i="2"/>
  <c r="B127" i="2"/>
  <c r="C1082" i="2"/>
  <c r="C1182" i="2"/>
  <c r="C1037" i="2"/>
  <c r="C1510" i="2"/>
  <c r="C445" i="2"/>
  <c r="B1630" i="2"/>
  <c r="C1282" i="2"/>
  <c r="C929" i="2"/>
  <c r="B139" i="2"/>
  <c r="C737" i="2"/>
  <c r="B1423" i="2"/>
  <c r="C1711" i="2"/>
  <c r="C353" i="2"/>
  <c r="C1626" i="2"/>
  <c r="B601" i="2"/>
  <c r="B1778" i="2"/>
  <c r="B506" i="2"/>
  <c r="C294" i="2"/>
  <c r="B1387" i="2"/>
  <c r="C888" i="2"/>
  <c r="C488" i="2"/>
  <c r="B310" i="2"/>
  <c r="C1430" i="2"/>
  <c r="B833" i="2"/>
  <c r="C1864" i="2"/>
  <c r="B1187" i="2"/>
  <c r="C1971" i="2"/>
  <c r="C1945" i="2"/>
  <c r="C976" i="2"/>
  <c r="B1878" i="2"/>
  <c r="B716" i="2"/>
  <c r="B236" i="2"/>
  <c r="B1078" i="2"/>
  <c r="C1558" i="2"/>
  <c r="B1212" i="2"/>
  <c r="B371" i="2"/>
  <c r="B527" i="2"/>
  <c r="B844" i="2"/>
  <c r="C903" i="2"/>
  <c r="C1384" i="2"/>
  <c r="B88" i="2"/>
  <c r="B412" i="2"/>
  <c r="B247" i="2"/>
  <c r="C1819" i="2"/>
  <c r="B1254" i="2"/>
  <c r="B125" i="2"/>
  <c r="C50" i="2"/>
  <c r="C1770" i="2"/>
  <c r="B1152" i="2"/>
  <c r="B521" i="2"/>
  <c r="B1814" i="2"/>
  <c r="B708" i="2"/>
  <c r="B1812" i="2"/>
  <c r="C1910" i="2"/>
  <c r="C458" i="2"/>
  <c r="B320" i="2"/>
  <c r="B1497" i="2"/>
  <c r="C314" i="2"/>
  <c r="C1750" i="2"/>
  <c r="B1664" i="2"/>
  <c r="B760" i="2"/>
  <c r="B956" i="2"/>
  <c r="C1646" i="2"/>
  <c r="B789" i="2"/>
  <c r="B352" i="2"/>
  <c r="C1725" i="2"/>
  <c r="C1767" i="2"/>
  <c r="C1608" i="2"/>
  <c r="C781" i="2"/>
  <c r="C1044" i="2"/>
  <c r="C1540" i="2"/>
  <c r="C406" i="2"/>
  <c r="C1506" i="2"/>
  <c r="C1520" i="2"/>
  <c r="C869" i="2"/>
  <c r="B388" i="2"/>
  <c r="B1548" i="2"/>
  <c r="C587" i="2"/>
  <c r="B284" i="2"/>
  <c r="C1452" i="2"/>
  <c r="C1138" i="2"/>
  <c r="C1528" i="2"/>
  <c r="C1329" i="2"/>
  <c r="B1751" i="2"/>
  <c r="B1515" i="2"/>
  <c r="C1135" i="2"/>
  <c r="C777" i="2"/>
  <c r="C841" i="2"/>
  <c r="C1464" i="2"/>
  <c r="B970" i="2"/>
  <c r="C1602" i="2"/>
  <c r="B67" i="2"/>
  <c r="C1409" i="2"/>
  <c r="C1344" i="2"/>
  <c r="B820" i="2"/>
  <c r="C1478" i="2"/>
  <c r="C375" i="2"/>
  <c r="C1601" i="2"/>
  <c r="C1268" i="2"/>
  <c r="C1047" i="2"/>
  <c r="B1815" i="2"/>
  <c r="B942" i="2"/>
  <c r="B458" i="2"/>
  <c r="C203" i="2"/>
  <c r="C1304" i="2"/>
  <c r="C1334" i="2"/>
  <c r="C1006" i="2"/>
  <c r="C900" i="2"/>
  <c r="B1239" i="2"/>
  <c r="B737" i="2"/>
  <c r="B1139" i="2"/>
  <c r="B1054" i="2"/>
  <c r="B936" i="2"/>
  <c r="C1813" i="2"/>
  <c r="B909" i="2"/>
  <c r="B1965" i="2"/>
  <c r="B1686" i="2"/>
  <c r="C231" i="2"/>
  <c r="C1421" i="2"/>
  <c r="C452" i="2"/>
  <c r="B65" i="2"/>
  <c r="C1319" i="2"/>
  <c r="C659" i="2"/>
  <c r="B966" i="2"/>
  <c r="B1031" i="2"/>
  <c r="B1457" i="2"/>
  <c r="C1181" i="2"/>
  <c r="B1215" i="2"/>
  <c r="C638" i="2"/>
  <c r="B550" i="2"/>
  <c r="B302" i="2"/>
  <c r="C1733" i="2"/>
  <c r="B215" i="2"/>
  <c r="C1955" i="2"/>
  <c r="B1890" i="2"/>
  <c r="C1922" i="2"/>
  <c r="C641" i="2"/>
  <c r="C1872" i="2"/>
  <c r="B241" i="2"/>
  <c r="C1123" i="2"/>
  <c r="B273" i="2"/>
  <c r="C1948" i="2"/>
  <c r="B1397" i="2"/>
  <c r="C519" i="2"/>
  <c r="C1856" i="2"/>
  <c r="B1518" i="2"/>
  <c r="B263" i="2"/>
  <c r="C718" i="2"/>
  <c r="C506" i="2"/>
  <c r="B1775" i="2"/>
  <c r="B1116" i="2"/>
  <c r="C498" i="2"/>
  <c r="C566" i="2"/>
  <c r="C1821" i="2"/>
  <c r="B1469" i="2"/>
  <c r="B142" i="2"/>
  <c r="C878" i="2"/>
  <c r="B1097" i="2"/>
  <c r="C935" i="2"/>
  <c r="C1270" i="2"/>
  <c r="B398" i="2"/>
  <c r="B1798" i="2"/>
  <c r="B1935" i="2"/>
  <c r="C1435" i="2"/>
  <c r="C1507" i="2"/>
  <c r="C603" i="2"/>
  <c r="B1241" i="2"/>
  <c r="C1503" i="2"/>
  <c r="C1647" i="2"/>
  <c r="B80" i="2"/>
  <c r="B1045" i="2"/>
  <c r="B816" i="2"/>
  <c r="B948" i="2"/>
  <c r="B1014" i="2"/>
  <c r="C1801" i="2"/>
  <c r="B78" i="2"/>
  <c r="B1793" i="2"/>
  <c r="B91" i="2"/>
  <c r="C873" i="2"/>
  <c r="C1264" i="2"/>
  <c r="C1944" i="2"/>
  <c r="B638" i="2"/>
  <c r="B1574" i="2"/>
  <c r="C1668" i="2"/>
  <c r="B905" i="2"/>
  <c r="C1823" i="2"/>
  <c r="C864" i="2"/>
  <c r="B1917" i="2"/>
  <c r="C1322" i="2"/>
  <c r="B1882" i="2"/>
  <c r="B514" i="2"/>
  <c r="B1909" i="2"/>
  <c r="C665" i="2"/>
  <c r="B1312" i="2"/>
  <c r="B590" i="2"/>
  <c r="B1487" i="2"/>
  <c r="B687" i="2"/>
  <c r="B534" i="2"/>
  <c r="B204" i="2"/>
  <c r="C987" i="2"/>
  <c r="B71" i="2"/>
  <c r="B836" i="2"/>
  <c r="B1803" i="2"/>
  <c r="C1757" i="2"/>
  <c r="B1539" i="2"/>
  <c r="C1221" i="2"/>
  <c r="C1696" i="2"/>
  <c r="C803" i="2"/>
  <c r="C1829" i="2"/>
  <c r="B1042" i="2"/>
  <c r="B780" i="2"/>
  <c r="B854" i="2"/>
  <c r="B1825" i="2"/>
  <c r="B1596" i="2"/>
  <c r="B1874" i="2"/>
  <c r="C690" i="2"/>
  <c r="C639" i="2"/>
  <c r="B913" i="2"/>
  <c r="B1413" i="2"/>
  <c r="C703" i="2"/>
  <c r="C608" i="2"/>
  <c r="B880" i="2"/>
  <c r="C1793" i="2"/>
  <c r="B1789" i="2"/>
  <c r="B445" i="2"/>
  <c r="C1925" i="2"/>
  <c r="B928" i="2"/>
  <c r="C1789" i="2"/>
  <c r="B214" i="2"/>
  <c r="B1484" i="2"/>
  <c r="B427" i="2"/>
  <c r="C1011" i="2"/>
  <c r="B672" i="2"/>
  <c r="C1903" i="2"/>
  <c r="B234" i="2"/>
  <c r="C779" i="2"/>
  <c r="C679" i="2"/>
  <c r="B1315" i="2"/>
  <c r="B1207" i="2"/>
  <c r="B1704" i="2"/>
  <c r="B1468" i="2"/>
  <c r="C870" i="2"/>
  <c r="C901" i="2"/>
  <c r="B101" i="2"/>
  <c r="C517" i="2"/>
  <c r="B1972" i="2"/>
  <c r="B1610" i="2"/>
  <c r="B1768" i="2"/>
  <c r="B1403" i="2"/>
  <c r="B1237" i="2"/>
  <c r="C1069" i="2"/>
  <c r="C813" i="2"/>
  <c r="B1862" i="2"/>
  <c r="B1964" i="2"/>
  <c r="C1375" i="2"/>
  <c r="C1920" i="2"/>
  <c r="B1251" i="2"/>
  <c r="C303" i="2"/>
  <c r="C1710" i="2"/>
  <c r="B1680" i="2"/>
  <c r="B1016" i="2"/>
  <c r="B1694" i="2"/>
  <c r="C1358" i="2"/>
  <c r="B27" i="2"/>
  <c r="B570" i="2"/>
  <c r="B1039" i="2"/>
  <c r="C524" i="2"/>
  <c r="B1328" i="2"/>
  <c r="C916" i="2"/>
  <c r="B1760" i="2"/>
  <c r="B1866" i="2"/>
  <c r="C1341" i="2"/>
  <c r="C949" i="2"/>
  <c r="B344" i="2"/>
  <c r="C1969" i="2"/>
  <c r="B50" i="2"/>
  <c r="C1216" i="2"/>
  <c r="B450" i="2"/>
  <c r="B1839" i="2"/>
  <c r="C486" i="2"/>
  <c r="C979" i="2"/>
  <c r="B1945" i="2"/>
  <c r="B475" i="2"/>
  <c r="C1919" i="2"/>
  <c r="C1189" i="2"/>
  <c r="B841" i="2"/>
  <c r="C1299" i="2"/>
  <c r="C666" i="2"/>
  <c r="B1455" i="2"/>
  <c r="C1681" i="2"/>
  <c r="C1049" i="2"/>
  <c r="C1255" i="2"/>
  <c r="B1227" i="2"/>
  <c r="B1158" i="2"/>
  <c r="B1173" i="2"/>
  <c r="B1599" i="2"/>
  <c r="B1510" i="2"/>
  <c r="C410" i="2"/>
  <c r="B370" i="2"/>
  <c r="C623" i="2"/>
  <c r="B146" i="2"/>
  <c r="B943" i="2"/>
  <c r="B870" i="2"/>
  <c r="B1918" i="2"/>
  <c r="C583" i="2"/>
  <c r="C1615" i="2"/>
  <c r="B217" i="2"/>
  <c r="B1201" i="2"/>
  <c r="B1162" i="2"/>
  <c r="B647" i="2"/>
  <c r="B323" i="2"/>
  <c r="B1141" i="2"/>
  <c r="C1040" i="2"/>
  <c r="C1493" i="2"/>
  <c r="C289" i="2"/>
  <c r="C1630" i="2"/>
  <c r="C1312" i="2"/>
  <c r="B112" i="2"/>
  <c r="B1172" i="2"/>
  <c r="C598" i="2"/>
  <c r="C1217" i="2"/>
  <c r="C1360" i="2"/>
  <c r="C1466" i="2"/>
  <c r="B1679" i="2"/>
  <c r="B544" i="2"/>
  <c r="B374" i="2"/>
  <c r="C418" i="2"/>
  <c r="B1939" i="2"/>
  <c r="B1489" i="2"/>
  <c r="C1241" i="2"/>
  <c r="B826" i="2"/>
  <c r="C1559" i="2"/>
  <c r="C1276" i="2"/>
  <c r="C512" i="2"/>
  <c r="B525" i="2"/>
  <c r="C1243" i="2"/>
  <c r="C537" i="2"/>
  <c r="C1742" i="2"/>
  <c r="C1576" i="2"/>
  <c r="C943" i="2"/>
  <c r="B1406" i="2"/>
  <c r="B617" i="2"/>
  <c r="B1786" i="2"/>
  <c r="B1120" i="2"/>
  <c r="C925" i="2"/>
  <c r="C972" i="2"/>
  <c r="C570" i="2"/>
  <c r="B1761" i="2"/>
  <c r="C875" i="2"/>
  <c r="B1188" i="2"/>
  <c r="C403" i="2"/>
  <c r="C890" i="2"/>
  <c r="B996" i="2"/>
  <c r="C470" i="2"/>
  <c r="B1681" i="2"/>
  <c r="B599" i="2"/>
  <c r="B1430" i="2"/>
  <c r="C1708" i="2"/>
  <c r="C369" i="2"/>
  <c r="B1688" i="2"/>
  <c r="C1811" i="2"/>
  <c r="C850" i="2"/>
  <c r="B246" i="2"/>
  <c r="B604" i="2"/>
  <c r="B1660" i="2"/>
  <c r="B1787" i="2"/>
  <c r="C755" i="2"/>
  <c r="C1489" i="2"/>
  <c r="C560" i="2"/>
  <c r="B837" i="2"/>
  <c r="B1478" i="2"/>
  <c r="B884" i="2"/>
  <c r="B228" i="2"/>
  <c r="B592" i="2"/>
  <c r="C1885" i="2"/>
  <c r="B326" i="2"/>
  <c r="C1400" i="2"/>
  <c r="C402" i="2"/>
  <c r="C1108" i="2"/>
  <c r="B868" i="2"/>
  <c r="C682" i="2"/>
  <c r="B1066" i="2"/>
  <c r="B1829" i="2"/>
  <c r="C713" i="2"/>
  <c r="C959" i="2"/>
  <c r="C675" i="2"/>
  <c r="C1382" i="2"/>
  <c r="B567" i="2"/>
  <c r="C227" i="2"/>
  <c r="B1204" i="2"/>
  <c r="B692" i="2"/>
  <c r="B1783" i="2"/>
  <c r="B356" i="2"/>
  <c r="C706" i="2"/>
  <c r="B1024" i="2"/>
  <c r="B1374" i="2"/>
  <c r="B1180" i="2"/>
  <c r="C394" i="2"/>
  <c r="B1677" i="2"/>
  <c r="B912" i="2"/>
  <c r="B1205" i="2"/>
  <c r="B1270" i="2"/>
  <c r="C288" i="2"/>
  <c r="C304" i="2"/>
  <c r="B455" i="2"/>
  <c r="C585" i="2"/>
  <c r="B1396" i="2"/>
  <c r="B1179" i="2"/>
  <c r="C1249" i="2"/>
  <c r="C1515" i="2"/>
  <c r="B266" i="2"/>
  <c r="B1891" i="2"/>
  <c r="C1140" i="2"/>
  <c r="B857" i="2"/>
  <c r="C671" i="2"/>
  <c r="B1106" i="2"/>
  <c r="B1080" i="2"/>
  <c r="C1514" i="2"/>
  <c r="C1352" i="2"/>
  <c r="B1506" i="2"/>
  <c r="B850" i="2"/>
  <c r="B600" i="2"/>
  <c r="B1339" i="2"/>
  <c r="B1165" i="2"/>
  <c r="B1228" i="2"/>
  <c r="B863" i="2"/>
  <c r="C957" i="2"/>
  <c r="C611" i="2"/>
  <c r="C1201" i="2"/>
  <c r="C899" i="2"/>
  <c r="B144" i="2"/>
  <c r="B1247" i="2"/>
  <c r="C911" i="2"/>
  <c r="C1544" i="2"/>
  <c r="C1387" i="2"/>
  <c r="C702" i="2"/>
  <c r="B851" i="2"/>
  <c r="B1648" i="2"/>
  <c r="B1407" i="2"/>
  <c r="B1650" i="2"/>
  <c r="C1389" i="2"/>
  <c r="C1508" i="2"/>
  <c r="C1921" i="2"/>
  <c r="B1491" i="2"/>
  <c r="B903" i="2"/>
  <c r="B1388" i="2"/>
  <c r="B973" i="2"/>
  <c r="B929" i="2"/>
  <c r="B201" i="2"/>
  <c r="B1589" i="2"/>
  <c r="B1903" i="2"/>
  <c r="C1315" i="2"/>
  <c r="C796" i="2"/>
  <c r="B1373" i="2"/>
  <c r="B1616" i="2"/>
  <c r="B1895" i="2"/>
  <c r="B1606" i="2"/>
  <c r="C1760" i="2"/>
  <c r="C281" i="2"/>
  <c r="B1594" i="2"/>
  <c r="C482" i="2"/>
  <c r="C328" i="2"/>
  <c r="C1155" i="2"/>
  <c r="B54" i="2"/>
  <c r="C1099" i="2"/>
  <c r="B625" i="2"/>
  <c r="C1840" i="2"/>
  <c r="C680" i="2"/>
  <c r="B838" i="2"/>
  <c r="C364" i="2"/>
  <c r="B537" i="2"/>
  <c r="B83" i="2"/>
  <c r="B1550" i="2"/>
  <c r="B627" i="2"/>
  <c r="C1373" i="2"/>
  <c r="B831" i="2"/>
  <c r="C319" i="2"/>
  <c r="B698" i="2"/>
  <c r="B1585" i="2"/>
  <c r="B784" i="2"/>
  <c r="C1701" i="2"/>
  <c r="B964" i="2"/>
  <c r="C697" i="2"/>
  <c r="C1940" i="2"/>
  <c r="C1724" i="2"/>
  <c r="B1861" i="2"/>
  <c r="B1136" i="2"/>
  <c r="C1930" i="2"/>
  <c r="B597" i="2"/>
  <c r="B1976" i="2"/>
  <c r="C271" i="2"/>
  <c r="C450" i="2"/>
  <c r="C605" i="2"/>
  <c r="B842" i="2"/>
  <c r="B461" i="2"/>
  <c r="C307" i="2"/>
  <c r="C1067" i="2"/>
  <c r="C1550" i="2"/>
  <c r="B145" i="2"/>
  <c r="C1899" i="2"/>
  <c r="B280" i="2"/>
  <c r="C1156" i="2"/>
  <c r="C1048" i="2"/>
  <c r="B170" i="2"/>
  <c r="C372" i="2"/>
  <c r="B1426" i="2"/>
  <c r="B585" i="2"/>
  <c r="B224" i="2"/>
  <c r="B1632" i="2"/>
  <c r="C315" i="2"/>
  <c r="C269" i="2"/>
  <c r="C1824" i="2"/>
  <c r="C322" i="2"/>
  <c r="C1046" i="2"/>
  <c r="B49" i="2"/>
  <c r="B1528" i="2"/>
  <c r="B1185" i="2"/>
  <c r="C1822" i="2"/>
  <c r="B1692" i="2"/>
  <c r="B1010" i="2"/>
  <c r="B657" i="2"/>
  <c r="B77" i="2"/>
  <c r="B17" i="2"/>
  <c r="C1517" i="2"/>
  <c r="C1267" i="2"/>
  <c r="C442" i="2"/>
  <c r="C770" i="2"/>
  <c r="C1692" i="2"/>
  <c r="C1709" i="2"/>
  <c r="B261" i="2"/>
  <c r="C1302" i="2"/>
  <c r="B746" i="2"/>
  <c r="C1053" i="2"/>
  <c r="B98" i="2"/>
  <c r="B1614" i="2"/>
  <c r="C628" i="2"/>
  <c r="B433" i="2"/>
  <c r="B1095" i="2"/>
  <c r="C1338" i="2"/>
  <c r="B1706" i="2"/>
  <c r="B702" i="2"/>
  <c r="C1224" i="2"/>
  <c r="B1398" i="2"/>
  <c r="C1713" i="2"/>
  <c r="C351" i="2"/>
  <c r="B1030" i="2"/>
  <c r="B1299" i="2"/>
  <c r="B121" i="2"/>
  <c r="C970" i="2"/>
  <c r="B439" i="2"/>
  <c r="C637" i="2"/>
  <c r="C436" i="2"/>
  <c r="B1525" i="2"/>
  <c r="B812" i="2"/>
  <c r="B1725" i="2"/>
  <c r="C600" i="2"/>
  <c r="B105" i="2"/>
  <c r="B770" i="2"/>
  <c r="B818" i="2"/>
  <c r="B779" i="2"/>
  <c r="B1908" i="2"/>
  <c r="B1323" i="2"/>
  <c r="C1966" i="2"/>
  <c r="B61" i="2"/>
  <c r="C1578" i="2"/>
  <c r="B495" i="2"/>
  <c r="C1581" i="2"/>
  <c r="B1301" i="2"/>
  <c r="B889" i="2"/>
  <c r="C1816" i="2"/>
  <c r="B765" i="2"/>
  <c r="B1881" i="2"/>
  <c r="C1876" i="2"/>
  <c r="C555" i="2"/>
  <c r="C830" i="2"/>
  <c r="B1033" i="2"/>
  <c r="C1013" i="2"/>
  <c r="B287" i="2"/>
  <c r="C1600" i="2"/>
  <c r="C1652" i="2"/>
  <c r="B1359" i="2"/>
  <c r="B515" i="2"/>
  <c r="B1494" i="2"/>
  <c r="B1753" i="2"/>
  <c r="C267" i="2"/>
  <c r="B1973" i="2"/>
  <c r="C1584" i="2"/>
  <c r="C1346" i="2"/>
  <c r="C791" i="2"/>
  <c r="C332" i="2"/>
  <c r="B1464" i="2"/>
  <c r="C1078" i="2"/>
  <c r="B1186" i="2"/>
  <c r="C1676" i="2"/>
  <c r="B1467" i="2"/>
  <c r="B741" i="2"/>
  <c r="C354" i="2"/>
  <c r="B1053" i="2"/>
  <c r="C866" i="2"/>
  <c r="C1127" i="2"/>
  <c r="C1684" i="2"/>
  <c r="C787" i="2"/>
  <c r="C1098" i="2"/>
  <c r="B1804" i="2"/>
  <c r="C1843" i="2"/>
  <c r="B238" i="2"/>
  <c r="B189" i="2"/>
  <c r="B1482" i="2"/>
  <c r="C1722" i="2"/>
  <c r="C1845" i="2"/>
  <c r="B59" i="2"/>
  <c r="C927" i="2"/>
  <c r="C483" i="2"/>
  <c r="B1074" i="2"/>
  <c r="C769" i="2"/>
  <c r="B1663" i="2"/>
  <c r="B1871" i="2"/>
  <c r="B879" i="2"/>
  <c r="B128" i="2"/>
  <c r="B1523" i="2"/>
  <c r="B1576" i="2"/>
  <c r="B1101" i="2"/>
  <c r="B1375" i="2"/>
  <c r="B1809" i="2"/>
  <c r="B1178" i="2"/>
  <c r="C1425" i="2"/>
  <c r="C1022" i="2"/>
  <c r="B1133" i="2"/>
  <c r="C1748" i="2"/>
  <c r="C1764" i="2"/>
  <c r="B1640" i="2"/>
  <c r="C1926" i="2"/>
  <c r="B1554" i="2"/>
  <c r="C1089" i="2"/>
  <c r="B526" i="2"/>
  <c r="B434" i="2"/>
  <c r="C1688" i="2"/>
  <c r="C330" i="2"/>
  <c r="C299" i="2"/>
  <c r="C321" i="2"/>
  <c r="B74" i="2"/>
  <c r="C1196" i="2"/>
  <c r="B1531" i="2"/>
  <c r="C854" i="2"/>
  <c r="B814" i="2"/>
  <c r="C1862" i="2"/>
  <c r="B945" i="2"/>
  <c r="C1110" i="2"/>
  <c r="B285" i="2"/>
  <c r="C1792" i="2"/>
  <c r="B1117" i="2"/>
  <c r="C1735" i="2"/>
  <c r="B775" i="2"/>
  <c r="B917" i="2"/>
  <c r="B1258" i="2"/>
  <c r="B1371" i="2"/>
  <c r="B70" i="2"/>
  <c r="B569" i="2"/>
  <c r="C1121" i="2"/>
  <c r="C390" i="2"/>
  <c r="C1402" i="2"/>
  <c r="B1369" i="2"/>
  <c r="B1273" i="2"/>
  <c r="B991" i="2"/>
  <c r="C391" i="2"/>
  <c r="B1390" i="2"/>
  <c r="B304" i="2"/>
  <c r="C753" i="2"/>
  <c r="C1802" i="2"/>
  <c r="B1257" i="2"/>
  <c r="C1164" i="2"/>
  <c r="B330" i="2"/>
  <c r="C735" i="2"/>
  <c r="C1166" i="2"/>
  <c r="B1481" i="2"/>
  <c r="C169" i="2"/>
  <c r="B1283" i="2"/>
  <c r="B748" i="2"/>
  <c r="B911" i="2"/>
  <c r="C1129" i="2"/>
  <c r="B878" i="2"/>
  <c r="C1149" i="2"/>
  <c r="C395" i="2"/>
  <c r="B1013" i="2"/>
  <c r="B778" i="2"/>
  <c r="C719" i="2"/>
  <c r="B1377" i="2"/>
  <c r="B1057" i="2"/>
  <c r="C1957" i="2"/>
  <c r="B1672" i="2"/>
  <c r="C1587" i="2"/>
  <c r="C1279" i="2"/>
  <c r="C1763" i="2"/>
  <c r="B1835" i="2"/>
  <c r="C412" i="2"/>
  <c r="C1631" i="2"/>
  <c r="B593" i="2"/>
  <c r="B931" i="2"/>
  <c r="C793" i="2"/>
  <c r="C1719" i="2"/>
  <c r="C1422" i="2"/>
  <c r="C170" i="2"/>
  <c r="B559" i="2"/>
  <c r="C1633" i="2"/>
  <c r="C1786" i="2"/>
  <c r="B1344" i="2"/>
  <c r="C1000" i="2"/>
  <c r="C527" i="2"/>
  <c r="B1280" i="2"/>
  <c r="B1875" i="2"/>
  <c r="C1152" i="2"/>
  <c r="C366" i="2"/>
  <c r="B1638" i="2"/>
  <c r="B1002" i="2"/>
  <c r="C1097" i="2"/>
  <c r="B322" i="2"/>
  <c r="B379" i="2"/>
  <c r="B243" i="2"/>
  <c r="B1476" i="2"/>
  <c r="C726" i="2"/>
  <c r="B444" i="2"/>
  <c r="C908" i="2"/>
  <c r="C1669" i="2"/>
  <c r="C1205" i="2"/>
  <c r="C1734" i="2"/>
  <c r="B764" i="2"/>
  <c r="B533" i="2"/>
  <c r="C1894" i="2"/>
  <c r="B156" i="2"/>
  <c r="B157" i="2"/>
  <c r="C684" i="2"/>
  <c r="B968" i="2"/>
  <c r="C642" i="2"/>
  <c r="C1214" i="2"/>
  <c r="B1696" i="2"/>
  <c r="C1842" i="2"/>
  <c r="C380" i="2"/>
  <c r="C295" i="2"/>
  <c r="C1583" i="2"/>
  <c r="B730" i="2"/>
  <c r="C533" i="2"/>
  <c r="C530" i="2"/>
  <c r="C618" i="2"/>
  <c r="B808" i="2"/>
  <c r="B753" i="2"/>
  <c r="C897" i="2"/>
  <c r="B97" i="2"/>
  <c r="B63" i="2"/>
  <c r="C1087" i="2"/>
  <c r="C1134" i="2"/>
  <c r="C804" i="2"/>
  <c r="B365" i="2"/>
  <c r="B1842" i="2"/>
  <c r="B1441" i="2"/>
  <c r="C1242" i="2"/>
  <c r="C1193" i="2"/>
  <c r="B1202" i="2"/>
  <c r="C1345" i="2"/>
  <c r="B1143" i="2"/>
  <c r="B1690" i="2"/>
  <c r="C1753" i="2"/>
  <c r="C982" i="2"/>
  <c r="B1043" i="2"/>
  <c r="B1974" i="2"/>
  <c r="B20" i="2"/>
  <c r="C1732" i="2"/>
  <c r="C165" i="2"/>
  <c r="B927" i="2"/>
  <c r="C1063" i="2"/>
  <c r="C962" i="2"/>
  <c r="B448" i="2"/>
  <c r="B373" i="2"/>
  <c r="B1757" i="2"/>
  <c r="B1813" i="2"/>
  <c r="C978" i="2"/>
  <c r="C747" i="2"/>
  <c r="C1001" i="2"/>
  <c r="C1103" i="2"/>
  <c r="C1225" i="2"/>
  <c r="C1661" i="2"/>
  <c r="B1160" i="2"/>
  <c r="B645" i="2"/>
  <c r="B180" i="2"/>
  <c r="B513" i="2"/>
  <c r="C909" i="2"/>
  <c r="C1870" i="2"/>
  <c r="C1848" i="2"/>
  <c r="B1281" i="2"/>
  <c r="C1875" i="2"/>
  <c r="B1843" i="2"/>
  <c r="B225" i="2"/>
  <c r="B1086" i="2"/>
  <c r="B984" i="2"/>
  <c r="B1321" i="2"/>
  <c r="C889" i="2"/>
  <c r="B752" i="2"/>
  <c r="C1561" i="2"/>
  <c r="C1805" i="2"/>
  <c r="C1394" i="2"/>
  <c r="B137" i="2"/>
  <c r="C1588" i="2"/>
  <c r="B588" i="2"/>
  <c r="C491" i="2"/>
  <c r="B1593" i="2"/>
  <c r="C1536" i="2"/>
  <c r="B1224" i="2"/>
  <c r="B707" i="2"/>
  <c r="C1293" i="2"/>
  <c r="B1624" i="2"/>
  <c r="C357" i="2"/>
  <c r="C907" i="2"/>
  <c r="C1766" i="2"/>
  <c r="C1102" i="2"/>
  <c r="C367" i="2"/>
  <c r="C1469" i="2"/>
  <c r="B258" i="2"/>
  <c r="C1918" i="2"/>
  <c r="B1006" i="2"/>
  <c r="B1949" i="2"/>
  <c r="B219" i="2"/>
  <c r="B387" i="2"/>
  <c r="C646" i="2"/>
  <c r="B176" i="2"/>
  <c r="C1300" i="2"/>
  <c r="B312" i="2"/>
  <c r="B862" i="2"/>
  <c r="B671" i="2"/>
  <c r="C685" i="2"/>
  <c r="B1421" i="2"/>
  <c r="C1638" i="2"/>
  <c r="B824" i="2"/>
  <c r="C805" i="2"/>
  <c r="C1325" i="2"/>
  <c r="B1004" i="2"/>
  <c r="C1501" i="2"/>
  <c r="C816" i="2"/>
  <c r="B1311" i="2"/>
  <c r="B282" i="2"/>
  <c r="B706" i="2"/>
  <c r="B908" i="2"/>
  <c r="C568" i="2"/>
  <c r="B117" i="2"/>
  <c r="C1071" i="2"/>
  <c r="B164" i="2"/>
  <c r="B1828" i="2"/>
  <c r="B1556" i="2"/>
  <c r="B1514" i="2"/>
  <c r="C616" i="2"/>
  <c r="B1595" i="2"/>
  <c r="C881" i="2"/>
  <c r="B29" i="2"/>
  <c r="B980" i="2"/>
  <c r="C1867" i="2"/>
  <c r="B1536" i="2"/>
  <c r="B1288" i="2"/>
  <c r="B795" i="2"/>
  <c r="B52" i="2"/>
  <c r="C432" i="2"/>
  <c r="B653" i="2"/>
  <c r="C385" i="2"/>
  <c r="C359" i="2"/>
  <c r="B3" i="2"/>
  <c r="B1331" i="2"/>
  <c r="B463" i="2"/>
  <c r="C658" i="2"/>
  <c r="C939" i="2"/>
  <c r="C1820" i="2"/>
  <c r="C625" i="2"/>
  <c r="B1565" i="2"/>
  <c r="B1716" i="2"/>
  <c r="B858" i="2"/>
  <c r="C632" i="2"/>
  <c r="B1549" i="2"/>
  <c r="C481" i="2"/>
  <c r="B1784" i="2"/>
  <c r="B1353" i="2"/>
  <c r="C338" i="2"/>
  <c r="C1679" i="2"/>
  <c r="C1198" i="2"/>
  <c r="B1600" i="2"/>
  <c r="B541" i="2"/>
  <c r="B408" i="2"/>
  <c r="C774" i="2"/>
  <c r="C1050" i="2"/>
  <c r="B791" i="2"/>
  <c r="C991" i="2"/>
  <c r="C588" i="2"/>
  <c r="B621" i="2"/>
  <c r="B689" i="2"/>
  <c r="B1830" i="2"/>
  <c r="B1785" i="2"/>
  <c r="B250" i="2"/>
  <c r="B1622" i="2"/>
  <c r="C1075" i="2"/>
  <c r="B1774" i="2"/>
  <c r="B1886" i="2"/>
  <c r="B1121" i="2"/>
  <c r="B1100" i="2"/>
  <c r="B1122" i="2"/>
  <c r="C529" i="2"/>
  <c r="C1900" i="2"/>
  <c r="C1858" i="2"/>
  <c r="B1458" i="2"/>
  <c r="B1816" i="2"/>
  <c r="C1579" i="2"/>
  <c r="C1535" i="2"/>
  <c r="B1409" i="2"/>
  <c r="C1936" i="2"/>
  <c r="B1651" i="2"/>
  <c r="C920" i="2"/>
  <c r="C1534" i="2"/>
  <c r="B331" i="2"/>
  <c r="B1703" i="2"/>
  <c r="B1183" i="2"/>
  <c r="B1732" i="2"/>
  <c r="C1218" i="2"/>
  <c r="B165" i="2"/>
  <c r="B1641" i="2"/>
  <c r="C1620" i="2"/>
  <c r="B1967" i="2"/>
  <c r="B298" i="2"/>
  <c r="C712" i="2"/>
  <c r="C1548" i="2"/>
  <c r="B1112" i="2"/>
  <c r="B1098" i="2"/>
  <c r="C981" i="2"/>
  <c r="C1729" i="2"/>
  <c r="C308" i="2"/>
  <c r="C556" i="2"/>
  <c r="C915" i="2"/>
  <c r="C1298" i="2"/>
  <c r="C1184" i="2"/>
  <c r="B1621" i="2"/>
  <c r="B576" i="2"/>
  <c r="B1027" i="2"/>
  <c r="C317" i="2"/>
  <c r="B1248" i="2"/>
  <c r="C670" i="2"/>
  <c r="B1108" i="2"/>
  <c r="B269" i="2"/>
  <c r="C501" i="2"/>
  <c r="B68" i="2"/>
  <c r="B15" i="2"/>
  <c r="B1105" i="2"/>
  <c r="C832" i="2"/>
  <c r="B1071" i="2"/>
  <c r="C1785" i="2"/>
  <c r="C1939" i="2"/>
  <c r="B1952" i="2"/>
  <c r="B1586" i="2"/>
  <c r="C843" i="2"/>
  <c r="C707" i="2"/>
  <c r="C1328" i="2"/>
  <c r="B240" i="2"/>
  <c r="C1838" i="2"/>
  <c r="B216" i="2"/>
  <c r="C1700" i="2"/>
  <c r="B1061" i="2"/>
  <c r="B1682" i="2"/>
  <c r="C1343" i="2"/>
  <c r="B896" i="2"/>
  <c r="B402" i="2"/>
  <c r="C201" i="2"/>
  <c r="C1603" i="2"/>
  <c r="C1114" i="2"/>
  <c r="C1849" i="2"/>
  <c r="C593" i="2"/>
  <c r="C861" i="2"/>
  <c r="C1873" i="2"/>
  <c r="C1841" i="2"/>
  <c r="C1024" i="2"/>
  <c r="B755" i="2"/>
  <c r="C1477" i="2"/>
  <c r="C1256" i="2"/>
  <c r="B1059" i="2"/>
  <c r="B1858" i="2"/>
  <c r="B489" i="2"/>
  <c r="B1900" i="2"/>
  <c r="C1321" i="2"/>
  <c r="B623" i="2"/>
  <c r="B134" i="2"/>
  <c r="C711" i="2"/>
  <c r="B813" i="2"/>
  <c r="B419" i="2"/>
  <c r="C1951" i="2"/>
  <c r="C446" i="2"/>
  <c r="C1746" i="2"/>
  <c r="C966" i="2"/>
  <c r="B861" i="2"/>
  <c r="B406" i="2"/>
  <c r="C734" i="2"/>
  <c r="B565" i="2"/>
  <c r="B1611" i="2"/>
  <c r="B324" i="2"/>
  <c r="B1393" i="2"/>
  <c r="B619" i="2"/>
  <c r="B1592" i="2"/>
  <c r="B1652" i="2"/>
  <c r="B1806" i="2"/>
  <c r="C1440" i="2"/>
  <c r="C1694" i="2"/>
  <c r="C1137" i="2"/>
  <c r="B425" i="2"/>
  <c r="B248" i="2"/>
  <c r="C1525" i="2"/>
  <c r="B1313" i="2"/>
  <c r="C1234" i="2"/>
  <c r="C508" i="2"/>
  <c r="C1809" i="2"/>
  <c r="B108" i="2"/>
  <c r="B648" i="2"/>
  <c r="B1936" i="2"/>
  <c r="C1498" i="2"/>
  <c r="C653" i="2"/>
  <c r="B303" i="2"/>
  <c r="B1206" i="2"/>
  <c r="B1343" i="2"/>
  <c r="C1740" i="2"/>
  <c r="B1291" i="2"/>
  <c r="C1167" i="2"/>
  <c r="C1070" i="2"/>
  <c r="B1486" i="2"/>
  <c r="C728" i="2"/>
  <c r="C1009" i="2"/>
  <c r="C1195" i="2"/>
  <c r="B1897" i="2"/>
  <c r="C1187" i="2"/>
  <c r="B1361" i="2"/>
  <c r="B1114" i="2"/>
  <c r="C1083" i="2"/>
  <c r="C268" i="2"/>
  <c r="C1190" i="2"/>
  <c r="C1500" i="2"/>
  <c r="B1436" i="2"/>
  <c r="B1519" i="2"/>
  <c r="C494" i="2"/>
  <c r="C1472" i="2"/>
  <c r="B1440" i="2"/>
  <c r="B1459" i="2"/>
  <c r="B792" i="2"/>
  <c r="C564" i="2"/>
  <c r="B337" i="2"/>
  <c r="C477" i="2"/>
  <c r="B509" i="2"/>
  <c r="C1339" i="2"/>
  <c r="B432" i="2"/>
  <c r="C945" i="2"/>
  <c r="C795" i="2"/>
  <c r="C651" i="2"/>
  <c r="B26" i="2"/>
  <c r="C1949" i="2"/>
  <c r="C1147" i="2"/>
  <c r="C1611" i="2"/>
  <c r="B579" i="2"/>
  <c r="B290" i="2"/>
  <c r="B1048" i="2"/>
  <c r="C1777" i="2"/>
  <c r="C1032" i="2"/>
  <c r="B1754" i="2"/>
  <c r="B690" i="2"/>
  <c r="C668" i="2"/>
  <c r="B160" i="2"/>
  <c r="C244" i="2"/>
  <c r="B480" i="2"/>
  <c r="C1207" i="2"/>
  <c r="B652" i="2"/>
  <c r="B1049" i="2"/>
  <c r="B181" i="2"/>
  <c r="C1442" i="2"/>
  <c r="B1823" i="2"/>
  <c r="B346" i="2"/>
  <c r="B1582" i="2"/>
  <c r="B1557" i="2"/>
  <c r="B252" i="2"/>
  <c r="B654" i="2"/>
  <c r="C232" i="2"/>
  <c r="B31" i="2"/>
  <c r="B892" i="2"/>
  <c r="C1151" i="2"/>
  <c r="B69" i="2"/>
  <c r="C280" i="2"/>
  <c r="C1237" i="2"/>
  <c r="B1437" i="2"/>
  <c r="C591" i="2"/>
  <c r="B1827" i="2"/>
  <c r="B345" i="2"/>
  <c r="C1482" i="2"/>
  <c r="B1940" i="2"/>
  <c r="C918" i="2"/>
  <c r="C657" i="2"/>
  <c r="B965" i="2"/>
  <c r="B93" i="2"/>
  <c r="B1063" i="2"/>
  <c r="C953" i="2"/>
  <c r="B1631" i="2"/>
  <c r="C1372" i="2"/>
  <c r="B1103" i="2"/>
  <c r="C808" i="2"/>
  <c r="C1034" i="2"/>
  <c r="B766" i="2"/>
  <c r="B1282" i="2"/>
  <c r="B1867" i="2"/>
  <c r="B1904" i="2"/>
  <c r="B231" i="2"/>
  <c r="B86" i="2"/>
  <c r="C559" i="2"/>
  <c r="B1079" i="2"/>
  <c r="B663" i="2"/>
  <c r="C874" i="2"/>
  <c r="B517" i="2"/>
  <c r="B659" i="2"/>
  <c r="C645" i="2"/>
  <c r="C1857" i="2"/>
  <c r="C699" i="2"/>
  <c r="B807" i="2"/>
  <c r="B1199" i="2"/>
  <c r="C292" i="2"/>
  <c r="C589" i="2"/>
  <c r="B852" i="2"/>
  <c r="C1246" i="2"/>
  <c r="B568" i="2"/>
  <c r="B1966" i="2"/>
  <c r="C1120" i="2"/>
  <c r="B1363" i="2"/>
  <c r="B58" i="2"/>
  <c r="B464" i="2"/>
  <c r="B494" i="2"/>
  <c r="B271" i="2"/>
  <c r="B329" i="2"/>
  <c r="C557" i="2"/>
  <c r="B1724" i="2"/>
  <c r="B1743" i="2"/>
  <c r="C398" i="2"/>
  <c r="C743" i="2"/>
  <c r="C786" i="2"/>
  <c r="C1432" i="2"/>
  <c r="B1928" i="2"/>
  <c r="B1096" i="2"/>
  <c r="C1327" i="2"/>
  <c r="C1259" i="2"/>
  <c r="B688" i="2"/>
  <c r="C1172" i="2"/>
  <c r="B1161" i="2"/>
  <c r="B1957" i="2"/>
  <c r="C860" i="2"/>
  <c r="B949" i="2"/>
  <c r="C1445" i="2"/>
  <c r="B798" i="2"/>
  <c r="C1052" i="2"/>
  <c r="B1302" i="2"/>
  <c r="C551" i="2"/>
  <c r="B1578" i="2"/>
  <c r="B409" i="2"/>
  <c r="C1481" i="2"/>
  <c r="B1242" i="2"/>
  <c r="B1067" i="2"/>
  <c r="C565" i="2"/>
  <c r="B1654" i="2"/>
  <c r="C1021" i="2"/>
  <c r="C715" i="2"/>
  <c r="B153" i="2"/>
  <c r="B1144" i="2"/>
  <c r="C1275" i="2"/>
  <c r="C655" i="2"/>
  <c r="C1159" i="2"/>
  <c r="B459" i="2"/>
  <c r="B839" i="2"/>
  <c r="B922" i="2"/>
  <c r="C525" i="2"/>
  <c r="B115" i="2"/>
  <c r="C656" i="2"/>
  <c r="B113" i="2"/>
  <c r="C1449" i="2"/>
  <c r="B456" i="2"/>
  <c r="C1655" i="2"/>
  <c r="B1851" i="2"/>
  <c r="B1855" i="2"/>
  <c r="B159" i="2"/>
  <c r="C300" i="2"/>
  <c r="C1419" i="2"/>
  <c r="C1846" i="2"/>
  <c r="B308" i="2"/>
  <c r="B915" i="2"/>
  <c r="B491" i="2"/>
  <c r="B484" i="2"/>
  <c r="C401" i="2"/>
  <c r="B632" i="2"/>
  <c r="C1749" i="2"/>
  <c r="B1041" i="2"/>
  <c r="B34" i="2"/>
  <c r="C297" i="2"/>
  <c r="C1119" i="2"/>
  <c r="C334" i="2"/>
  <c r="C650" i="2"/>
  <c r="B293" i="2"/>
  <c r="C1095" i="2"/>
  <c r="B1797" i="2"/>
  <c r="C1278" i="2"/>
  <c r="B1799" i="2"/>
  <c r="C1604" i="2"/>
  <c r="C1884" i="2"/>
  <c r="B1461" i="2"/>
  <c r="B438" i="2"/>
  <c r="C419" i="2"/>
  <c r="C1623" i="2"/>
  <c r="C1807" i="2"/>
  <c r="C763" i="2"/>
  <c r="B148" i="2"/>
  <c r="B640" i="2"/>
  <c r="C872" i="2"/>
  <c r="C1650" i="2"/>
  <c r="B1123" i="2"/>
  <c r="B1232" i="2"/>
  <c r="B396" i="2"/>
  <c r="B560" i="2"/>
  <c r="C1780" i="2"/>
  <c r="B1879" i="2"/>
  <c r="B1175" i="2"/>
  <c r="B1661" i="2"/>
  <c r="B309" i="2"/>
  <c r="B1937" i="2"/>
  <c r="B200" i="2"/>
  <c r="B262" i="2"/>
  <c r="C1869" i="2"/>
  <c r="C601" i="2"/>
  <c r="B1953" i="2"/>
  <c r="B614" i="2"/>
  <c r="B719" i="2"/>
  <c r="C1566" i="2"/>
  <c r="C579" i="2"/>
  <c r="B476" i="2"/>
  <c r="C550" i="2"/>
  <c r="C457" i="2"/>
  <c r="B1503" i="2"/>
  <c r="B538" i="2"/>
  <c r="C1680" i="2"/>
  <c r="C1797" i="2"/>
  <c r="B1264" i="2"/>
  <c r="B1110" i="2"/>
  <c r="C654" i="2"/>
  <c r="B722" i="2"/>
  <c r="B377" i="2"/>
  <c r="B1537" i="2"/>
  <c r="B830" i="2"/>
  <c r="B267" i="2"/>
  <c r="C1943" i="2"/>
  <c r="C542" i="2"/>
  <c r="B999" i="2"/>
  <c r="C493" i="2"/>
  <c r="C1624" i="2"/>
  <c r="C453" i="2"/>
  <c r="B1583" i="2"/>
  <c r="B801" i="2"/>
  <c r="B1417" i="2"/>
  <c r="B1521" i="2"/>
  <c r="C286" i="2"/>
  <c r="B391" i="2"/>
  <c r="C1658" i="2"/>
  <c r="C1027" i="2"/>
  <c r="C761" i="2"/>
  <c r="B1386" i="2"/>
  <c r="B1395" i="2"/>
  <c r="C1310" i="2"/>
  <c r="B1744" i="2"/>
  <c r="C1139" i="2"/>
  <c r="C337" i="2"/>
  <c r="B481" i="2"/>
  <c r="C1451" i="2"/>
  <c r="B277" i="2"/>
  <c r="C1005" i="2"/>
  <c r="B82" i="2"/>
  <c r="B1726" i="2"/>
  <c r="B1190" i="2"/>
  <c r="B1975" i="2"/>
  <c r="C1851" i="2"/>
  <c r="B102" i="2"/>
  <c r="C924" i="2"/>
  <c r="B1171" i="2"/>
  <c r="C1533" i="2"/>
  <c r="C1511" i="2"/>
  <c r="B202" i="2"/>
  <c r="B1769" i="2"/>
  <c r="B1380" i="2"/>
  <c r="B539" i="2"/>
  <c r="B528" i="2"/>
  <c r="C1796" i="2"/>
  <c r="B828" i="2"/>
  <c r="C1765" i="2"/>
  <c r="B1069" i="2"/>
  <c r="C439" i="2"/>
  <c r="C1347" i="2"/>
  <c r="C1277" i="2"/>
  <c r="B1418" i="2"/>
  <c r="C1569" i="2"/>
  <c r="C647" i="2"/>
  <c r="C161" i="2"/>
  <c r="C162" i="2"/>
  <c r="C1045" i="2"/>
  <c r="C1853" i="2"/>
  <c r="C1577" i="2"/>
  <c r="B472" i="2"/>
  <c r="B496" i="2"/>
  <c r="B411" i="2"/>
  <c r="B184" i="2"/>
  <c r="B720" i="2"/>
  <c r="C977" i="2"/>
  <c r="C1830" i="2"/>
  <c r="B466" i="2"/>
  <c r="B1236" i="2"/>
  <c r="B12" i="2"/>
  <c r="B596" i="2"/>
  <c r="B754" i="2"/>
  <c r="C936" i="2"/>
  <c r="B40" i="2"/>
  <c r="C1424" i="2"/>
  <c r="C355" i="2"/>
  <c r="C1337" i="2"/>
  <c r="B1625" i="2"/>
  <c r="B1894" i="2"/>
  <c r="B1699" i="2"/>
  <c r="C1542" i="2"/>
  <c r="B1394" i="2"/>
  <c r="C937" i="2"/>
  <c r="C681" i="2"/>
  <c r="C1803" i="2"/>
  <c r="C168" i="2"/>
  <c r="B825" i="2"/>
  <c r="B1961" i="2"/>
  <c r="C904" i="2"/>
  <c r="C722" i="2"/>
  <c r="B998" i="2"/>
  <c r="C1968" i="2"/>
  <c r="C868" i="2"/>
  <c r="C1831" i="2"/>
  <c r="B166" i="2"/>
  <c r="B451" i="2"/>
  <c r="B175" i="2"/>
  <c r="C1116" i="2"/>
  <c r="B1425" i="2"/>
  <c r="B1255" i="2"/>
  <c r="C1458" i="2"/>
  <c r="B1243" i="2"/>
  <c r="B1068" i="2"/>
  <c r="B84" i="2"/>
  <c r="C1896" i="2"/>
  <c r="C626" i="2"/>
  <c r="B1473" i="2"/>
  <c r="C1023" i="2"/>
  <c r="C1674" i="2"/>
  <c r="B210" i="2"/>
  <c r="B1885" i="2"/>
  <c r="B315" i="2"/>
  <c r="B1921" i="2"/>
  <c r="B1773" i="2"/>
  <c r="C1672" i="2"/>
  <c r="B1771" i="2"/>
  <c r="B1912" i="2"/>
  <c r="C1441" i="2"/>
  <c r="B1685" i="2"/>
  <c r="C1772" i="2"/>
  <c r="C1033" i="2"/>
  <c r="C253" i="2"/>
  <c r="B386" i="2"/>
  <c r="C1835" i="2"/>
  <c r="C672" i="2"/>
  <c r="B171" i="2"/>
  <c r="C968" i="2"/>
  <c r="C1336" i="2"/>
  <c r="B336" i="2"/>
  <c r="B1609" i="2"/>
  <c r="B725" i="2"/>
  <c r="C1545" i="2"/>
  <c r="B699" i="2"/>
  <c r="B1642" i="2"/>
  <c r="B242" i="2"/>
  <c r="C1595" i="2"/>
  <c r="B431" i="2"/>
  <c r="B1888" i="2"/>
  <c r="C1390" i="2"/>
  <c r="B295" i="2"/>
  <c r="C1179" i="2"/>
  <c r="B827" i="2"/>
  <c r="C1675" i="2"/>
  <c r="C1663" i="2"/>
  <c r="B1533" i="2"/>
  <c r="C1379" i="2"/>
  <c r="B1792" i="2"/>
  <c r="B321" i="2"/>
  <c r="C597" i="2"/>
  <c r="C163" i="2"/>
  <c r="B380" i="2"/>
  <c r="B1411" i="2"/>
  <c r="C1706" i="2"/>
  <c r="B985" i="2"/>
  <c r="C1271" i="2"/>
  <c r="B360" i="2"/>
  <c r="B227" i="2"/>
  <c r="C336" i="2"/>
  <c r="C396" i="2"/>
  <c r="B622" i="2"/>
  <c r="C1330" i="2"/>
  <c r="C1754" i="2"/>
  <c r="C1560" i="2"/>
  <c r="B954" i="2"/>
  <c r="B1401" i="2"/>
  <c r="C842" i="2"/>
  <c r="C1568" i="2"/>
  <c r="C1834" i="2"/>
  <c r="C166" i="2"/>
  <c r="B758" i="2"/>
  <c r="C574" i="2"/>
  <c r="B418" i="2"/>
  <c r="B1755" i="2"/>
  <c r="B1214" i="2"/>
  <c r="C1436" i="2"/>
  <c r="C720" i="2"/>
  <c r="C1236" i="2"/>
  <c r="B756" i="2"/>
  <c r="B1381" i="2"/>
  <c r="C272" i="2"/>
  <c r="C858" i="2"/>
  <c r="C814" i="2"/>
  <c r="B452" i="2"/>
  <c r="C305" i="2"/>
  <c r="B286" i="2"/>
  <c r="B1099" i="2"/>
  <c r="B1019" i="2"/>
  <c r="B1245" i="2"/>
  <c r="C1252" i="2"/>
  <c r="C910" i="2"/>
  <c r="C388" i="2"/>
  <c r="B734" i="2"/>
  <c r="B532" i="2"/>
  <c r="C1555" i="2"/>
  <c r="B1925" i="2"/>
  <c r="B603" i="2"/>
  <c r="B154" i="2"/>
  <c r="B709" i="2"/>
  <c r="C536" i="2"/>
  <c r="B1091" i="2"/>
  <c r="C1891" i="2"/>
  <c r="C1042" i="2"/>
  <c r="C1183" i="2"/>
  <c r="B470" i="2"/>
  <c r="B1731" i="2"/>
  <c r="B1520" i="2"/>
  <c r="C733" i="2"/>
  <c r="B817" i="2"/>
  <c r="C500" i="2"/>
  <c r="B1025" i="2"/>
  <c r="B245" i="2"/>
  <c r="C955" i="2"/>
  <c r="C1616" i="2"/>
  <c r="B607" i="2"/>
  <c r="B1954" i="2"/>
  <c r="C1702" i="2"/>
  <c r="C851" i="2"/>
  <c r="C688" i="2"/>
  <c r="B510" i="2"/>
  <c r="B636" i="2"/>
  <c r="B1358" i="2"/>
  <c r="B1332" i="2"/>
  <c r="C283" i="2"/>
  <c r="C1972" i="2"/>
  <c r="C1798" i="2"/>
  <c r="C627" i="2"/>
  <c r="C479" i="2"/>
  <c r="C1738" i="2"/>
  <c r="B1712" i="2"/>
  <c r="C1585" i="2"/>
  <c r="B462" i="2"/>
  <c r="B1499" i="2"/>
  <c r="C640" i="2"/>
  <c r="C817" i="2"/>
  <c r="C1286" i="2"/>
  <c r="C1586" i="2"/>
  <c r="C607" i="2"/>
  <c r="B1029" i="2"/>
  <c r="C730" i="2"/>
  <c r="B1527" i="2"/>
  <c r="C1964" i="2"/>
  <c r="C880" i="2"/>
  <c r="B1717" i="2"/>
  <c r="B270" i="2"/>
  <c r="C1868" i="2"/>
  <c r="B1532" i="2"/>
  <c r="C1051" i="2"/>
  <c r="B649" i="2"/>
  <c r="C930" i="2"/>
  <c r="C502" i="2"/>
  <c r="B328" i="2"/>
  <c r="B1870" i="2"/>
  <c r="B426" i="2"/>
  <c r="B276" i="2"/>
  <c r="C1367" i="2"/>
  <c r="C1752" i="2"/>
  <c r="C1847" i="2"/>
  <c r="B899" i="2"/>
  <c r="B1710" i="2"/>
  <c r="C951" i="2"/>
  <c r="C238" i="2"/>
  <c r="C1171" i="2"/>
  <c r="C1061" i="2"/>
  <c r="B1511" i="2"/>
  <c r="C361" i="2"/>
  <c r="B1573" i="2"/>
  <c r="C578" i="2"/>
  <c r="B187" i="2"/>
  <c r="C1721" i="2"/>
  <c r="C732" i="2"/>
  <c r="B400" i="2"/>
  <c r="C420" i="2"/>
  <c r="C584" i="2"/>
  <c r="B116" i="2"/>
  <c r="C1495" i="2"/>
  <c r="C562" i="2"/>
  <c r="B32" i="2"/>
  <c r="C1395" i="2"/>
  <c r="C1153" i="2"/>
  <c r="B535" i="2"/>
  <c r="B642" i="2"/>
  <c r="C807" i="2"/>
  <c r="B511" i="2"/>
  <c r="B668" i="2"/>
  <c r="C1175" i="2"/>
  <c r="B1701" i="2"/>
  <c r="C965" i="2"/>
  <c r="B1445" i="2"/>
  <c r="C448" i="2"/>
  <c r="C258" i="2"/>
  <c r="B1083" i="2"/>
  <c r="B195" i="2"/>
  <c r="B11" i="2"/>
  <c r="B796" i="2"/>
  <c r="B249" i="2"/>
  <c r="B1620" i="2"/>
  <c r="C1567" i="2"/>
  <c r="C1100" i="2"/>
  <c r="B1571" i="2"/>
  <c r="C526" i="2"/>
  <c r="B1776" i="2"/>
  <c r="C785" i="2"/>
  <c r="B1898" i="2"/>
  <c r="B99" i="2"/>
  <c r="C1794" i="2"/>
  <c r="C1682" i="2"/>
  <c r="B294" i="2"/>
  <c r="C944" i="2"/>
  <c r="B253" i="2"/>
  <c r="C946" i="2"/>
  <c r="C1247" i="2"/>
  <c r="C919" i="2"/>
  <c r="B777" i="2"/>
  <c r="C1418" i="2"/>
  <c r="C1546" i="2"/>
  <c r="B1159" i="2"/>
  <c r="C1756" i="2"/>
  <c r="C1958" i="2"/>
  <c r="C505" i="2"/>
  <c r="C423" i="2"/>
  <c r="B963" i="2"/>
  <c r="B403" i="2"/>
  <c r="B685" i="2"/>
  <c r="B624" i="2"/>
  <c r="C1090" i="2"/>
  <c r="B646" i="2"/>
  <c r="C350" i="2"/>
  <c r="C1935" i="2"/>
  <c r="B594" i="2"/>
  <c r="C773" i="2"/>
  <c r="B483" i="2"/>
  <c r="B1551" i="2"/>
  <c r="B1590" i="2"/>
  <c r="B1820" i="2"/>
  <c r="C801" i="2"/>
  <c r="B714" i="2"/>
  <c r="B441" i="2"/>
  <c r="B1942" i="2"/>
  <c r="B1134" i="2"/>
  <c r="B1772" i="2"/>
  <c r="B1102" i="2"/>
  <c r="C1769" i="2"/>
  <c r="C1736" i="2"/>
  <c r="C1479" i="2"/>
  <c r="B1286" i="2"/>
  <c r="B516" i="2"/>
  <c r="B206" i="2"/>
  <c r="C1340" i="2"/>
  <c r="B237" i="2"/>
  <c r="B1847" i="2"/>
  <c r="C1227" i="2"/>
  <c r="C1941" i="2"/>
  <c r="C687" i="2"/>
  <c r="B835" i="2"/>
  <c r="B554" i="2"/>
  <c r="B95" i="2"/>
  <c r="B327" i="2"/>
  <c r="B553" i="2"/>
  <c r="B612" i="2"/>
  <c r="C1938" i="2"/>
  <c r="B291" i="2"/>
  <c r="C1015" i="2"/>
  <c r="B1444" i="2"/>
  <c r="C1438" i="2"/>
  <c r="C999" i="2"/>
  <c r="B347" i="2"/>
  <c r="C1808" i="2"/>
  <c r="C282" i="2"/>
  <c r="C1228" i="2"/>
  <c r="C1296" i="2"/>
  <c r="C1916" i="2"/>
  <c r="B822" i="2"/>
  <c r="B1191" i="2"/>
  <c r="C1019" i="2"/>
  <c r="C1324" i="2"/>
  <c r="C1415" i="2"/>
  <c r="B1147" i="2"/>
  <c r="C1637" i="2"/>
  <c r="C1591" i="2"/>
  <c r="C683" i="2"/>
  <c r="C1308" i="2"/>
  <c r="C1417" i="2"/>
  <c r="C1593" i="2"/>
  <c r="C664" i="2"/>
  <c r="B920" i="2"/>
  <c r="C1730" i="2"/>
  <c r="B1687" i="2"/>
  <c r="B1472" i="2"/>
  <c r="C1326" i="2"/>
  <c r="B1739" i="2"/>
  <c r="B976" i="2"/>
  <c r="B256" i="2"/>
  <c r="B413" i="2"/>
  <c r="C1459" i="2"/>
  <c r="B1076" i="2"/>
  <c r="B682" i="2"/>
  <c r="B255" i="2"/>
  <c r="B666" i="2"/>
  <c r="B493" i="2"/>
  <c r="C1594" i="2"/>
  <c r="B1730" i="2"/>
  <c r="B952" i="2"/>
  <c r="C1523" i="2"/>
  <c r="B446" i="2"/>
  <c r="C1687" i="2"/>
  <c r="B376" i="2"/>
  <c r="C1727" i="2"/>
  <c r="B848" i="2"/>
  <c r="B536" i="2"/>
  <c r="B1132" i="2"/>
  <c r="C1043" i="2"/>
  <c r="C1519" i="2"/>
  <c r="B1729" i="2"/>
  <c r="B1850" i="2"/>
  <c r="B1612" i="2"/>
  <c r="B575" i="2"/>
  <c r="B1603" i="2"/>
  <c r="C1448" i="2"/>
  <c r="C425" i="2"/>
  <c r="B712" i="2"/>
  <c r="C1745" i="2"/>
  <c r="B1439" i="2"/>
  <c r="C1423" i="2"/>
  <c r="B1496" i="2"/>
  <c r="B1289" i="2"/>
  <c r="C1644" i="2"/>
  <c r="B883" i="2"/>
  <c r="B724" i="2"/>
  <c r="B609" i="2"/>
  <c r="C780" i="2"/>
  <c r="C1618" i="2"/>
  <c r="C771" i="2"/>
  <c r="B1695" i="2"/>
  <c r="C456" i="2"/>
  <c r="C362" i="2"/>
  <c r="C1250" i="2"/>
  <c r="C1492" i="2"/>
  <c r="B951" i="2"/>
  <c r="B367" i="2"/>
  <c r="C310" i="2"/>
  <c r="B500" i="2"/>
  <c r="C435" i="2"/>
  <c r="B561" i="2"/>
  <c r="B7" i="2"/>
  <c r="C1226" i="2"/>
  <c r="B1003" i="2"/>
  <c r="C1170" i="2"/>
  <c r="C1887" i="2"/>
  <c r="C1456" i="2"/>
  <c r="C885" i="2"/>
  <c r="C1575" i="2"/>
  <c r="C1556" i="2"/>
  <c r="B53" i="2"/>
  <c r="B736" i="2"/>
  <c r="C245" i="2"/>
  <c r="C1636" i="2"/>
  <c r="B430" i="2"/>
  <c r="B129" i="2"/>
  <c r="C1908" i="2"/>
  <c r="B1113" i="2"/>
  <c r="B1330" i="2"/>
  <c r="B898" i="2"/>
  <c r="B1310" i="2"/>
  <c r="C1462" i="2"/>
  <c r="C1904" i="2"/>
  <c r="C760" i="2"/>
  <c r="C731" i="2"/>
  <c r="C834" i="2"/>
  <c r="B87" i="2"/>
  <c r="B318" i="2"/>
  <c r="B1275" i="2"/>
  <c r="B385" i="2"/>
  <c r="C693" i="2"/>
  <c r="C1398" i="2"/>
  <c r="C1486" i="2"/>
  <c r="B1864" i="2"/>
  <c r="C1582" i="2"/>
  <c r="B9" i="2"/>
  <c r="C358" i="2"/>
  <c r="C1162" i="2"/>
  <c r="B661" i="2"/>
  <c r="C1795" i="2"/>
  <c r="C1963" i="2"/>
  <c r="B251" i="2"/>
  <c r="B644" i="2"/>
  <c r="C1788" i="2"/>
  <c r="B1447" i="2"/>
  <c r="C1471" i="2"/>
  <c r="C1025" i="2"/>
  <c r="C1399" i="2"/>
  <c r="C287" i="2"/>
  <c r="B1749" i="2"/>
  <c r="B163" i="2"/>
  <c r="C1136" i="2"/>
  <c r="B1126" i="2"/>
  <c r="B131" i="2"/>
  <c r="C384" i="2"/>
  <c r="C609" i="2"/>
  <c r="C635" i="2"/>
  <c r="B354" i="2"/>
  <c r="B111" i="2"/>
  <c r="C323" i="2"/>
  <c r="B969" i="2"/>
  <c r="B1662" i="2"/>
  <c r="C1815" i="2"/>
  <c r="B1151" i="2"/>
  <c r="B1193" i="2"/>
  <c r="C397" i="2"/>
  <c r="B1325" i="2"/>
  <c r="B1357" i="2"/>
  <c r="C1010" i="2"/>
  <c r="C1537" i="2"/>
  <c r="B182" i="2"/>
  <c r="C778" i="2"/>
  <c r="B203" i="2"/>
  <c r="B1336" i="2"/>
  <c r="B546" i="2"/>
  <c r="B467" i="2"/>
  <c r="B580" i="2"/>
  <c r="C863" i="2"/>
  <c r="B1007" i="2"/>
  <c r="C1933" i="2"/>
  <c r="B1355" i="2"/>
  <c r="B449" i="2"/>
  <c r="B745" i="2"/>
  <c r="C248" i="2"/>
  <c r="B1931" i="2"/>
  <c r="C1349" i="2"/>
  <c r="B353" i="2"/>
  <c r="C629" i="2"/>
  <c r="B25" i="2"/>
  <c r="B1948" i="2"/>
  <c r="C1909" i="2"/>
  <c r="B362" i="2"/>
  <c r="C1532" i="2"/>
  <c r="C254" i="2"/>
  <c r="C1892" i="2"/>
  <c r="B932" i="2"/>
  <c r="C233" i="2"/>
  <c r="B1137" i="2"/>
  <c r="C1026" i="2"/>
  <c r="B260" i="2"/>
  <c r="C374" i="2"/>
  <c r="C1911" i="2"/>
  <c r="C273" i="2"/>
  <c r="C521" i="2"/>
  <c r="C905" i="2"/>
  <c r="C1157" i="2"/>
  <c r="C503" i="2"/>
  <c r="C595" i="2"/>
  <c r="C660" i="2"/>
  <c r="C1596" i="2"/>
  <c r="C1004" i="2"/>
  <c r="B563" i="2"/>
  <c r="B207" i="2"/>
  <c r="C462" i="2"/>
  <c r="C413" i="2"/>
  <c r="B1581" i="2"/>
  <c r="B133" i="2"/>
  <c r="B696" i="2"/>
  <c r="B1309" i="2"/>
  <c r="C1632" i="2"/>
  <c r="C234" i="2"/>
  <c r="B1857" i="2"/>
  <c r="B307" i="2"/>
  <c r="B1285" i="2"/>
  <c r="B740" i="2"/>
  <c r="C1281" i="2"/>
  <c r="C279" i="2"/>
  <c r="C590" i="2"/>
  <c r="C950" i="2"/>
  <c r="B1698" i="2"/>
  <c r="B389" i="2"/>
  <c r="C414" i="2"/>
  <c r="C1656" i="2"/>
  <c r="C275" i="2"/>
  <c r="B941" i="2"/>
  <c r="C1518" i="2"/>
  <c r="B1238" i="2"/>
  <c r="B738" i="2"/>
  <c r="C691" i="2"/>
  <c r="B710" i="2"/>
  <c r="B974" i="2"/>
  <c r="B769" i="2"/>
  <c r="B676" i="2"/>
  <c r="B1156" i="2"/>
  <c r="C449" i="2"/>
  <c r="C1970" i="2"/>
  <c r="B1618" i="2"/>
  <c r="B338" i="2"/>
  <c r="C1698" i="2"/>
  <c r="B681" i="2"/>
  <c r="B1584" i="2"/>
  <c r="B1544" i="2"/>
  <c r="B611" i="2"/>
  <c r="C1368" i="2"/>
  <c r="C541" i="2"/>
  <c r="B257" i="2"/>
  <c r="B394" i="2"/>
  <c r="B547" i="2"/>
  <c r="B845" i="2"/>
  <c r="B865" i="2"/>
  <c r="C969" i="2"/>
  <c r="B790" i="2"/>
  <c r="C754" i="2"/>
  <c r="C1897" i="2"/>
  <c r="C433" i="2"/>
  <c r="C775" i="2"/>
  <c r="B1265" i="2"/>
  <c r="C1484" i="2"/>
  <c r="B1480" i="2"/>
  <c r="C1035" i="2"/>
  <c r="C356" i="2"/>
  <c r="B1284" i="2"/>
  <c r="B1547" i="2"/>
  <c r="C745" i="2"/>
  <c r="C1470" i="2"/>
  <c r="C1124" i="2"/>
  <c r="B339" i="2"/>
  <c r="B859" i="2"/>
  <c r="C879" i="2"/>
  <c r="C437" i="2"/>
  <c r="C1924" i="2"/>
  <c r="C1714" i="2"/>
  <c r="B1052" i="2"/>
  <c r="B56" i="2"/>
  <c r="C427" i="2"/>
  <c r="B1779" i="2"/>
  <c r="C1206" i="2"/>
  <c r="C290" i="2"/>
  <c r="B1509" i="2"/>
  <c r="C673" i="2"/>
  <c r="C1297" i="2"/>
  <c r="B946" i="2"/>
  <c r="C1186" i="2"/>
  <c r="C592" i="2"/>
  <c r="B424" i="2"/>
  <c r="B1340" i="2"/>
  <c r="B1287" i="2"/>
  <c r="C1965" i="2"/>
  <c r="B348" i="2"/>
  <c r="B306" i="2"/>
  <c r="B147" i="2"/>
  <c r="B1466" i="2"/>
  <c r="C906" i="2"/>
  <c r="B1342" i="2"/>
  <c r="C871" i="2"/>
  <c r="C1800" i="2"/>
  <c r="C1105" i="2"/>
  <c r="C696" i="2"/>
  <c r="B275" i="2"/>
  <c r="C1778" i="2"/>
  <c r="C236" i="2"/>
  <c r="B1372" i="2"/>
  <c r="C667" i="2"/>
  <c r="B1524" i="2"/>
  <c r="B1709" i="2"/>
  <c r="B1840" i="2"/>
  <c r="B1670" i="2"/>
  <c r="B1564" i="2"/>
  <c r="B1274" i="2"/>
  <c r="C468" i="2"/>
  <c r="B316" i="2"/>
  <c r="C931" i="2"/>
  <c r="C516" i="2"/>
  <c r="B840" i="2"/>
  <c r="B1093" i="2"/>
  <c r="B4" i="2"/>
  <c r="C1974" i="2"/>
  <c r="B797" i="2"/>
  <c r="B1836" i="2"/>
  <c r="B1129" i="2"/>
  <c r="B1164" i="2"/>
  <c r="C1104" i="2"/>
  <c r="B1920" i="2"/>
  <c r="C580" i="2"/>
  <c r="C467" i="2"/>
  <c r="B1807" i="2"/>
  <c r="C1142" i="2"/>
  <c r="C797" i="2"/>
  <c r="B1290" i="2"/>
  <c r="C727" i="2"/>
  <c r="B297" i="2"/>
  <c r="B1471" i="2"/>
  <c r="C844" i="2"/>
  <c r="C845" i="2"/>
  <c r="B1647" i="2"/>
  <c r="B895" i="2"/>
  <c r="B744" i="2"/>
  <c r="B810" i="2"/>
  <c r="C1416" i="2"/>
  <c r="B447" i="2"/>
  <c r="B589" i="2"/>
  <c r="C1295" i="2"/>
  <c r="B1968" i="2"/>
  <c r="C1915" i="2"/>
  <c r="C1238" i="2"/>
  <c r="B643" i="2"/>
  <c r="C421" i="2"/>
  <c r="B718" i="2"/>
  <c r="C1118" i="2"/>
  <c r="B1580" i="2"/>
  <c r="B1314" i="2"/>
  <c r="C1613" i="2"/>
  <c r="C1200" i="2"/>
  <c r="B551" i="2"/>
  <c r="B1020" i="2"/>
  <c r="C349" i="2"/>
  <c r="B1538" i="2"/>
  <c r="C1463" i="2"/>
  <c r="C1929" i="2"/>
  <c r="C1564" i="2"/>
  <c r="C316" i="2"/>
  <c r="C311" i="2"/>
  <c r="C1950" i="2"/>
  <c r="B1000" i="2"/>
  <c r="B887" i="2"/>
  <c r="B1702" i="2"/>
  <c r="C1414" i="2"/>
  <c r="C1844" i="2"/>
  <c r="B442" i="2"/>
  <c r="C963" i="2"/>
  <c r="B691" i="2"/>
  <c r="C1235" i="2"/>
  <c r="B359" i="2"/>
  <c r="B1292" i="2"/>
  <c r="B381" i="2"/>
  <c r="B806" i="2"/>
  <c r="C507" i="2"/>
  <c r="C748" i="2"/>
  <c r="C360" i="2"/>
  <c r="B1575" i="2"/>
  <c r="B1501" i="2"/>
  <c r="B1221" i="2"/>
  <c r="B993" i="2"/>
  <c r="B1734" i="2"/>
  <c r="B578" i="2"/>
  <c r="C806" i="2"/>
  <c r="C941" i="2"/>
  <c r="C1731" i="2"/>
  <c r="C921" i="2"/>
  <c r="C1446" i="2"/>
  <c r="B978" i="2"/>
  <c r="C387" i="2"/>
  <c r="B1253" i="2"/>
  <c r="B349" i="2"/>
  <c r="C1320" i="2"/>
  <c r="C1404" i="2"/>
  <c r="C1128" i="2"/>
  <c r="B205" i="2"/>
  <c r="C768" i="2"/>
  <c r="B437" i="2"/>
  <c r="C1080" i="2"/>
  <c r="C1003" i="2"/>
  <c r="C1450" i="2"/>
  <c r="B235" i="2"/>
  <c r="C1617" i="2"/>
  <c r="B1577" i="2"/>
  <c r="C992" i="2"/>
  <c r="C986" i="2"/>
  <c r="C1008" i="2"/>
  <c r="B1326" i="2"/>
  <c r="C447" i="2"/>
  <c r="C476" i="2"/>
  <c r="B886" i="2"/>
  <c r="B1674" i="2"/>
  <c r="B1223" i="2"/>
  <c r="B571" i="2"/>
  <c r="C1659" i="2"/>
  <c r="B319" i="2"/>
  <c r="B192" i="2"/>
  <c r="B1971" i="2"/>
  <c r="B1240" i="2"/>
  <c r="B1636" i="2"/>
  <c r="B1246" i="2"/>
  <c r="B1587" i="2"/>
  <c r="C518" i="2"/>
  <c r="C1942" i="2"/>
  <c r="B123" i="2"/>
  <c r="B440" i="2"/>
  <c r="C1165" i="2"/>
  <c r="B1379" i="2"/>
  <c r="C1779" i="2"/>
  <c r="C631" i="2"/>
  <c r="B161" i="2"/>
  <c r="C363" i="2"/>
  <c r="B1736" i="2"/>
  <c r="B1260" i="2"/>
  <c r="B669" i="2"/>
  <c r="C1317" i="2"/>
  <c r="C475" i="2"/>
  <c r="B1913" i="2"/>
  <c r="B729" i="2"/>
  <c r="C818" i="2"/>
  <c r="B1914" i="2"/>
  <c r="B357" i="2"/>
  <c r="C167" i="2"/>
  <c r="C1301" i="2"/>
  <c r="C1420" i="2"/>
  <c r="C1812" i="2"/>
  <c r="B933" i="2"/>
  <c r="B272" i="2"/>
  <c r="B283" i="2"/>
  <c r="C531" i="2"/>
  <c r="C610" i="2"/>
  <c r="C434" i="2"/>
  <c r="C1893" i="2"/>
  <c r="B1082" i="2"/>
  <c r="B1808" i="2"/>
  <c r="B1035" i="2"/>
  <c r="C1036" i="2"/>
  <c r="C983" i="2"/>
  <c r="C648" i="2"/>
  <c r="B1109" i="2"/>
  <c r="B1308" i="2"/>
  <c r="B126" i="2"/>
  <c r="B1347" i="2"/>
  <c r="B872" i="2"/>
  <c r="B1856" i="2"/>
  <c r="C776" i="2"/>
  <c r="C839" i="2"/>
  <c r="C1366" i="2"/>
  <c r="B802" i="2"/>
  <c r="B786" i="2"/>
  <c r="B1298" i="2"/>
  <c r="C829" i="2"/>
  <c r="B76" i="2"/>
  <c r="C1383" i="2"/>
  <c r="C1877" i="2"/>
  <c r="B1535" i="2"/>
  <c r="B552" i="2"/>
  <c r="B1385" i="2"/>
  <c r="C1288" i="2"/>
  <c r="B1956" i="2"/>
  <c r="C928" i="2"/>
  <c r="B674" i="2"/>
  <c r="B57" i="2"/>
  <c r="C586" i="2"/>
  <c r="C1758" i="2"/>
  <c r="B33" i="2"/>
  <c r="C1622" i="2"/>
  <c r="B1318" i="2"/>
  <c r="B1145" i="2"/>
  <c r="C340" i="2"/>
  <c r="C473" i="2"/>
  <c r="B900" i="2"/>
  <c r="C636" i="2"/>
  <c r="C371" i="2"/>
  <c r="B1279" i="2"/>
  <c r="C724" i="2"/>
  <c r="B1055" i="2"/>
  <c r="C767" i="2"/>
  <c r="C409" i="2"/>
  <c r="C644" i="2"/>
  <c r="C1406" i="2"/>
  <c r="B1005" i="2"/>
  <c r="C1223" i="2"/>
  <c r="B209" i="2"/>
  <c r="B1211" i="2"/>
  <c r="B530" i="2"/>
  <c r="B1865" i="2"/>
  <c r="C1513" i="2"/>
  <c r="B1826" i="2"/>
  <c r="B1452" i="2"/>
  <c r="C1254" i="2"/>
  <c r="C407" i="2"/>
  <c r="B1824" i="2"/>
  <c r="C1112" i="2"/>
  <c r="C228" i="2"/>
  <c r="B73" i="2"/>
  <c r="C984" i="2"/>
  <c r="B1675" i="2"/>
  <c r="C1314" i="2"/>
  <c r="B1294" i="2"/>
  <c r="C237" i="2"/>
  <c r="B1460" i="2"/>
  <c r="B1543" i="2"/>
  <c r="C1439" i="2"/>
  <c r="C1888" i="2"/>
  <c r="C335" i="2"/>
  <c r="B132" i="2"/>
  <c r="B587" i="2"/>
  <c r="B1208" i="2"/>
  <c r="B1329" i="2"/>
  <c r="B24" i="2"/>
  <c r="B986" i="2"/>
  <c r="B473" i="2"/>
  <c r="C441" i="2"/>
  <c r="B178" i="2"/>
  <c r="B1402" i="2"/>
  <c r="C1269" i="2"/>
  <c r="B1805" i="2"/>
  <c r="B36" i="2"/>
  <c r="C1806" i="2"/>
  <c r="B1872" i="2"/>
  <c r="C235" i="2"/>
  <c r="B873" i="2"/>
  <c r="C1480" i="2"/>
  <c r="B1741" i="2"/>
  <c r="C798" i="2"/>
  <c r="C426" i="2"/>
  <c r="B1022" i="2"/>
  <c r="B1708" i="2"/>
  <c r="B1756" i="2"/>
  <c r="B1516" i="2"/>
  <c r="C1932" i="2"/>
  <c r="C277" i="2"/>
  <c r="C714" i="2"/>
  <c r="B1001" i="2"/>
  <c r="B962" i="2"/>
  <c r="C990" i="2"/>
  <c r="C1640" i="2"/>
  <c r="C320" i="2"/>
  <c r="C1405" i="2"/>
  <c r="B393" i="2"/>
  <c r="B1422" i="2"/>
  <c r="C1331" i="2"/>
  <c r="B602" i="2"/>
  <c r="C1509" i="2"/>
  <c r="B8" i="2"/>
  <c r="C256" i="2"/>
  <c r="B407" i="2"/>
  <c r="B1929" i="2"/>
  <c r="B508" i="2"/>
  <c r="B1154" i="2"/>
  <c r="C765" i="2"/>
  <c r="C255" i="2"/>
  <c r="C723" i="2"/>
  <c r="C1370" i="2"/>
  <c r="B1810" i="2"/>
  <c r="B1833" i="2"/>
  <c r="B313" i="2"/>
  <c r="B1197" i="2"/>
  <c r="B1748" i="2"/>
  <c r="C1361" i="2"/>
  <c r="C988" i="2"/>
  <c r="C1093" i="2"/>
  <c r="C1388" i="2"/>
  <c r="C819" i="2"/>
  <c r="C1859" i="2"/>
  <c r="C1610" i="2"/>
  <c r="C545" i="2"/>
  <c r="B490" i="2"/>
  <c r="C1160" i="2"/>
  <c r="C404" i="2"/>
  <c r="C1431" i="2"/>
  <c r="C1516" i="2"/>
  <c r="B1337" i="2"/>
  <c r="C1759" i="2"/>
  <c r="B38" i="2"/>
  <c r="C1574" i="2"/>
  <c r="C1475" i="2"/>
  <c r="C1627" i="2"/>
  <c r="B1901" i="2"/>
  <c r="B1345" i="2"/>
  <c r="C1460" i="2"/>
  <c r="B232" i="2"/>
  <c r="C837" i="2"/>
  <c r="B1448" i="2"/>
  <c r="B893" i="2"/>
  <c r="B259" i="2"/>
  <c r="C964" i="2"/>
  <c r="B982" i="2"/>
  <c r="B1745" i="2"/>
  <c r="B1727" i="2"/>
  <c r="C463" i="2"/>
  <c r="B678" i="2"/>
  <c r="C1572" i="2"/>
  <c r="B641" i="2"/>
  <c r="C514" i="2"/>
  <c r="C1686" i="2"/>
  <c r="B505" i="2"/>
  <c r="B979" i="2"/>
  <c r="B1615" i="2"/>
  <c r="B39" i="2"/>
  <c r="B768" i="2"/>
  <c r="B28" i="2"/>
  <c r="B499" i="2"/>
  <c r="B1456" i="2"/>
  <c r="B1534" i="2"/>
  <c r="B1408" i="2"/>
  <c r="B885" i="2"/>
  <c r="C276" i="2"/>
  <c r="C1703" i="2"/>
  <c r="B1947" i="2"/>
  <c r="C1427" i="2"/>
  <c r="B1558" i="2"/>
  <c r="B1540" i="2"/>
  <c r="C678" i="2"/>
  <c r="C1065" i="2"/>
  <c r="B934" i="2"/>
  <c r="B1341" i="2"/>
  <c r="C1648" i="2"/>
  <c r="C828" i="2"/>
  <c r="B1477" i="2"/>
  <c r="B888" i="2"/>
  <c r="C1473" i="2"/>
  <c r="C1641" i="2"/>
  <c r="C1028" i="2"/>
  <c r="B179" i="2"/>
  <c r="C386" i="2"/>
  <c r="C932" i="2"/>
  <c r="C615" i="2"/>
  <c r="B1927" i="2"/>
  <c r="C1437" i="2"/>
  <c r="B46" i="2"/>
  <c r="C669" i="2"/>
  <c r="B545" i="2"/>
  <c r="C1185" i="2"/>
  <c r="C741" i="2"/>
  <c r="C1825" i="2"/>
  <c r="C341" i="2"/>
  <c r="C1133" i="2"/>
  <c r="B975" i="2"/>
  <c r="C1771" i="2"/>
  <c r="B548" i="2"/>
  <c r="B853" i="2"/>
  <c r="C622" i="2"/>
  <c r="B1841" i="2"/>
  <c r="B581" i="2"/>
  <c r="C1716" i="2"/>
  <c r="B37" i="2"/>
  <c r="C543" i="2"/>
  <c r="C1412" i="2"/>
  <c r="C1161" i="2"/>
  <c r="B1643" i="2"/>
  <c r="C1592" i="2"/>
  <c r="B667" i="2"/>
  <c r="B914" i="2"/>
  <c r="B1470" i="2"/>
  <c r="B1189" i="2"/>
  <c r="B1431" i="2"/>
  <c r="B383" i="2"/>
  <c r="B987" i="2"/>
  <c r="C1086" i="2"/>
  <c r="B21" i="2"/>
  <c r="C710" i="2"/>
  <c r="C575" i="2"/>
  <c r="C1039" i="2"/>
  <c r="C1012" i="2"/>
  <c r="B628" i="2"/>
  <c r="B486" i="2"/>
  <c r="B72" i="2"/>
  <c r="B410" i="2"/>
  <c r="C538" i="2"/>
  <c r="B651" i="2"/>
  <c r="C1927" i="2"/>
  <c r="C1781" i="2"/>
  <c r="B1657" i="2"/>
  <c r="C1381" i="2"/>
  <c r="B776" i="2"/>
  <c r="B6" i="2"/>
  <c r="B254" i="2"/>
  <c r="C547" i="2"/>
  <c r="C624" i="2"/>
  <c r="B1072" i="2"/>
  <c r="B1906" i="2"/>
  <c r="B1566" i="2"/>
  <c r="C1076" i="2"/>
  <c r="C1612" i="2"/>
  <c r="B1552" i="2"/>
  <c r="B239" i="2"/>
  <c r="C1541" i="2"/>
  <c r="C581" i="2"/>
  <c r="C333" i="2"/>
  <c r="C1852" i="2"/>
  <c r="C383" i="2"/>
  <c r="B1333" i="2"/>
  <c r="C1629" i="2"/>
  <c r="C1356" i="2"/>
  <c r="B829" i="2"/>
  <c r="B223" i="2"/>
  <c r="C1055" i="2"/>
  <c r="B103" i="2"/>
  <c r="B1962" i="2"/>
  <c r="B574" i="2"/>
  <c r="B244" i="2"/>
  <c r="B1656" i="2"/>
  <c r="B1463" i="2"/>
  <c r="C399" i="2"/>
  <c r="C1391" i="2"/>
  <c r="C857" i="2"/>
  <c r="C573" i="2"/>
  <c r="B135" i="2"/>
  <c r="C766" i="2"/>
  <c r="C252" i="2"/>
  <c r="B279" i="2"/>
  <c r="C381" i="2"/>
  <c r="B821" i="2"/>
  <c r="C345" i="2"/>
  <c r="B351" i="2"/>
  <c r="B958" i="2"/>
  <c r="B42" i="2"/>
  <c r="C1883" i="2"/>
  <c r="B1508" i="2"/>
  <c r="C602" i="2"/>
  <c r="B1334" i="2"/>
  <c r="C1717" i="2"/>
  <c r="C1599" i="2"/>
  <c r="B301" i="2"/>
  <c r="B1951" i="2"/>
  <c r="B1195" i="2"/>
  <c r="C883" i="2"/>
  <c r="C1895" i="2"/>
  <c r="C1905" i="2"/>
  <c r="C701" i="2"/>
  <c r="B1788" i="2"/>
  <c r="B677" i="2"/>
  <c r="B1382" i="2"/>
  <c r="B1036" i="2"/>
  <c r="C865" i="2"/>
  <c r="C1654" i="2"/>
  <c r="C1530" i="2"/>
  <c r="C971" i="2"/>
  <c r="B268" i="2"/>
  <c r="C725" i="2"/>
  <c r="C1274" i="2"/>
  <c r="B92" i="2"/>
  <c r="B120" i="2"/>
  <c r="B1817" i="2"/>
  <c r="B1362" i="2"/>
  <c r="C1014" i="2"/>
  <c r="C1401" i="2"/>
  <c r="C1454" i="2"/>
  <c r="C487" i="2"/>
  <c r="B265" i="2"/>
  <c r="B118" i="2"/>
  <c r="C1642" i="2"/>
  <c r="B1235" i="2"/>
  <c r="B773" i="2"/>
  <c r="B1435" i="2"/>
  <c r="B1119" i="2"/>
  <c r="C649" i="2"/>
  <c r="B1442" i="2"/>
  <c r="B485" i="2"/>
  <c r="B1822" i="2"/>
  <c r="B901" i="2"/>
  <c r="B1451" i="2"/>
  <c r="C1261" i="2"/>
  <c r="C708" i="2"/>
  <c r="B675" i="2"/>
  <c r="C577" i="2"/>
  <c r="C1923" i="2"/>
  <c r="C952" i="2"/>
  <c r="C1244" i="2"/>
  <c r="C164" i="2"/>
  <c r="B1272" i="2"/>
  <c r="C1960" i="2"/>
  <c r="B1579" i="2"/>
  <c r="B684" i="2"/>
  <c r="B1659" i="2"/>
  <c r="B1588" i="2"/>
  <c r="C1169" i="2"/>
  <c r="C1426" i="2"/>
  <c r="C948" i="2"/>
  <c r="C563" i="2"/>
  <c r="B1046" i="2"/>
  <c r="C1408" i="2"/>
  <c r="C1861" i="2"/>
  <c r="B1892" i="2"/>
  <c r="B1443" i="2"/>
  <c r="C1359" i="2"/>
  <c r="C1333" i="2"/>
  <c r="C859" i="2"/>
  <c r="C415" i="2"/>
  <c r="C544" i="2"/>
  <c r="C1265" i="2"/>
  <c r="C840" i="2"/>
  <c r="B1064" i="2"/>
  <c r="C1651" i="2"/>
  <c r="B1073" i="2"/>
  <c r="B81" i="2"/>
  <c r="B138" i="2"/>
  <c r="B743" i="2"/>
  <c r="B757" i="2"/>
  <c r="C1954" i="2"/>
  <c r="B1293" i="2"/>
  <c r="C739" i="2"/>
  <c r="B1203" i="2"/>
  <c r="B1645" i="2"/>
  <c r="B415" i="2"/>
  <c r="C1062" i="2"/>
  <c r="C540" i="2"/>
  <c r="B1502" i="2"/>
  <c r="B372" i="2"/>
  <c r="B1219" i="2"/>
  <c r="C824" i="2"/>
  <c r="C1178" i="2"/>
  <c r="B1512" i="2"/>
  <c r="C1718" i="2"/>
  <c r="B332" i="2"/>
  <c r="B1391" i="2"/>
  <c r="B1297" i="2"/>
  <c r="B1011" i="2"/>
  <c r="C1837" i="2"/>
  <c r="B1796" i="2"/>
  <c r="B726" i="2"/>
  <c r="B1504" i="2"/>
  <c r="B94" i="2"/>
  <c r="C1527" i="2"/>
  <c r="B921" i="2"/>
  <c r="C1931" i="2"/>
  <c r="C940" i="2"/>
  <c r="B866" i="2"/>
  <c r="B1673" i="2"/>
  <c r="B1433" i="2"/>
  <c r="B1414" i="2"/>
  <c r="C1907" i="2"/>
  <c r="C1058" i="2"/>
  <c r="C1937" i="2"/>
  <c r="C1413" i="2"/>
  <c r="C159" i="2"/>
  <c r="C1371" i="2"/>
  <c r="B1854" i="2"/>
  <c r="C1914" i="2"/>
  <c r="B843" i="2"/>
  <c r="B191" i="2"/>
  <c r="B1602" i="2"/>
  <c r="C365" i="2"/>
  <c r="B479" i="2"/>
  <c r="C1068" i="2"/>
  <c r="C368" i="2"/>
  <c r="B296" i="2"/>
  <c r="C539" i="2"/>
  <c r="B382" i="2"/>
  <c r="C652" i="2"/>
  <c r="C1176" i="2"/>
  <c r="C1755" i="2"/>
  <c r="B1367" i="2"/>
  <c r="C692" i="2"/>
  <c r="C438" i="2"/>
  <c r="C422" i="2"/>
  <c r="B350" i="2"/>
  <c r="B1780" i="2"/>
  <c r="C1342" i="2"/>
  <c r="B939" i="2"/>
  <c r="C1073" i="2"/>
  <c r="C810" i="2"/>
  <c r="C686" i="2"/>
  <c r="B882" i="2"/>
  <c r="B1153" i="2"/>
  <c r="C606" i="2"/>
  <c r="C1148" i="2"/>
  <c r="C922" i="2"/>
  <c r="C474" i="2"/>
  <c r="B1149" i="2"/>
  <c r="B595" i="2"/>
  <c r="B1389" i="2"/>
  <c r="B1115" i="2"/>
  <c r="B162" i="2"/>
  <c r="C1158" i="2"/>
  <c r="B1930" i="2"/>
  <c r="C1350" i="2"/>
  <c r="C567" i="2"/>
  <c r="B1166" i="2"/>
  <c r="C1512" i="2"/>
  <c r="C799" i="2"/>
  <c r="C1248" i="2"/>
  <c r="C1683" i="2"/>
  <c r="B1349" i="2"/>
  <c r="C318" i="2"/>
  <c r="C912" i="2"/>
  <c r="B1277" i="2"/>
  <c r="B919" i="2"/>
  <c r="B1021" i="2"/>
  <c r="B1350" i="2"/>
  <c r="B1644" i="2"/>
  <c r="C594" i="2"/>
  <c r="C1854" i="2"/>
  <c r="B864" i="2"/>
  <c r="B923" i="2"/>
  <c r="C746" i="2"/>
  <c r="C339" i="2"/>
  <c r="C1737" i="2"/>
  <c r="B143" i="2"/>
  <c r="B1300" i="2"/>
  <c r="C1194" i="2"/>
  <c r="C1365" i="2"/>
  <c r="C1947" i="2"/>
  <c r="C1285" i="2"/>
  <c r="B478" i="2"/>
  <c r="C243" i="2"/>
  <c r="B697" i="2"/>
  <c r="B1182" i="2"/>
  <c r="B1837" i="2"/>
  <c r="B977" i="2"/>
  <c r="B1271" i="2"/>
  <c r="B735" i="2"/>
  <c r="B1269" i="2"/>
  <c r="B1627" i="2"/>
  <c r="B1267" i="2"/>
  <c r="C325" i="2"/>
  <c r="B498" i="2"/>
  <c r="B1485" i="2"/>
  <c r="C1362" i="2"/>
  <c r="B1629" i="2"/>
  <c r="C1143" i="2"/>
  <c r="C1273" i="2"/>
  <c r="C520" i="2"/>
  <c r="B1412" i="2"/>
  <c r="C695" i="2"/>
  <c r="B421" i="2"/>
  <c r="B809" i="2"/>
  <c r="B172" i="2"/>
  <c r="C511" i="2"/>
  <c r="C1060" i="2"/>
  <c r="C1291" i="2"/>
  <c r="C1625" i="2"/>
  <c r="B390" i="2"/>
  <c r="C259" i="2"/>
  <c r="C1002" i="2"/>
  <c r="B856" i="2"/>
  <c r="B1026" i="2"/>
  <c r="C554" i="2"/>
  <c r="C759" i="2"/>
  <c r="C1092" i="2"/>
  <c r="B1012" i="2"/>
  <c r="C1855" i="2"/>
  <c r="C1865" i="2"/>
  <c r="C1666" i="2"/>
  <c r="C1690" i="2"/>
  <c r="C444" i="2"/>
  <c r="C1832" i="2"/>
  <c r="B1667" i="2"/>
  <c r="C1363" i="2"/>
  <c r="B1140" i="2"/>
  <c r="B1037" i="2"/>
  <c r="C621" i="2"/>
  <c r="B1295" i="2"/>
  <c r="B1646" i="2"/>
  <c r="B1220" i="2"/>
  <c r="B1338" i="2"/>
  <c r="C1163" i="2"/>
  <c r="C241" i="2"/>
  <c r="B542" i="2"/>
  <c r="C1323" i="2"/>
  <c r="B41" i="2"/>
  <c r="C891" i="2"/>
  <c r="C572" i="2"/>
  <c r="C826" i="2"/>
  <c r="C1316" i="2"/>
  <c r="C1016" i="2"/>
  <c r="B860" i="2"/>
  <c r="B1040" i="2"/>
  <c r="B1794" i="2"/>
  <c r="B660" i="2"/>
  <c r="B422" i="2"/>
  <c r="C980" i="2"/>
  <c r="B1075" i="2"/>
  <c r="B1155" i="2"/>
  <c r="B471" i="2"/>
  <c r="B1317" i="2"/>
  <c r="B925" i="2"/>
  <c r="B1907" i="2"/>
  <c r="C251" i="2"/>
  <c r="B1655" i="2"/>
  <c r="B1104" i="2"/>
  <c r="B1852" i="2"/>
  <c r="B75" i="2"/>
  <c r="B1635" i="2"/>
  <c r="B871" i="2"/>
  <c r="B1613" i="2"/>
  <c r="B1250" i="2"/>
  <c r="B90" i="2"/>
  <c r="C1266" i="2"/>
  <c r="C923" i="2"/>
  <c r="B501" i="2"/>
  <c r="B1658" i="2"/>
  <c r="C1476" i="2"/>
  <c r="B763" i="2"/>
  <c r="C815" i="2"/>
  <c r="B562" i="2"/>
  <c r="B1244" i="2"/>
  <c r="C249" i="2"/>
  <c r="C836" i="2"/>
  <c r="B1876" i="2"/>
  <c r="B361" i="2"/>
  <c r="B194" i="2"/>
  <c r="B695" i="2"/>
  <c r="B185" i="2"/>
  <c r="B916" i="2"/>
  <c r="C750" i="2"/>
  <c r="B876" i="2"/>
  <c r="B1653" i="2"/>
  <c r="C1673" i="2"/>
  <c r="C1113" i="2"/>
  <c r="B384" i="2"/>
  <c r="C1614" i="2"/>
  <c r="B1056" i="2"/>
  <c r="B1483" i="2"/>
  <c r="C853" i="2"/>
  <c r="C1886" i="2"/>
  <c r="C772" i="2"/>
  <c r="C1975" i="2"/>
  <c r="B1733" i="2"/>
  <c r="B1383" i="2"/>
  <c r="B894" i="2"/>
  <c r="B468" i="2"/>
  <c r="B918" i="2"/>
  <c r="B1150" i="2"/>
  <c r="B335" i="2"/>
  <c r="B124" i="2"/>
  <c r="C716" i="2"/>
  <c r="C1220" i="2"/>
  <c r="C1782" i="2"/>
  <c r="C1474" i="2"/>
  <c r="C478" i="2"/>
  <c r="B1128" i="2"/>
  <c r="C1621" i="2"/>
  <c r="C1720" i="2"/>
  <c r="B785" i="2"/>
  <c r="B620" i="2"/>
  <c r="B783" i="2"/>
  <c r="B1522" i="2"/>
  <c r="B1348" i="2"/>
  <c r="B1479" i="2"/>
  <c r="C1434" i="2"/>
  <c r="C546" i="2"/>
  <c r="C1251" i="2"/>
  <c r="B230" i="2"/>
  <c r="C266" i="2"/>
  <c r="B583" i="2"/>
  <c r="B487" i="2"/>
  <c r="B1791" i="2"/>
  <c r="C612" i="2"/>
  <c r="C492" i="2"/>
  <c r="B591" i="2"/>
  <c r="C877" i="2"/>
  <c r="B1598" i="2"/>
  <c r="B1693" i="2"/>
  <c r="B1849" i="2"/>
  <c r="B703" i="2"/>
  <c r="C464" i="2"/>
  <c r="C886" i="2"/>
  <c r="C835" i="2"/>
  <c r="B664" i="2"/>
  <c r="C1177" i="2"/>
  <c r="C1762" i="2"/>
  <c r="C1547" i="2"/>
  <c r="C698" i="2"/>
  <c r="B453" i="2"/>
  <c r="C633" i="2"/>
  <c r="C1091" i="2"/>
  <c r="C613" i="2"/>
  <c r="C1956" i="2"/>
  <c r="B1714" i="2"/>
  <c r="B1689" i="2"/>
  <c r="B1738" i="2"/>
  <c r="C1502" i="2"/>
  <c r="C1496" i="2"/>
  <c r="C1743" i="2"/>
  <c r="C1203" i="2"/>
  <c r="C465" i="2"/>
  <c r="C1521" i="2"/>
  <c r="C762" i="2"/>
  <c r="C1240" i="2"/>
  <c r="B1617" i="2"/>
  <c r="C1639" i="2"/>
  <c r="C1490" i="2"/>
  <c r="C764" i="2"/>
  <c r="B155" i="2"/>
  <c r="B1877" i="2"/>
  <c r="B1860" i="2"/>
  <c r="B423" i="2"/>
  <c r="B1626" i="2"/>
  <c r="C1747" i="2"/>
  <c r="B198" i="2"/>
  <c r="B1261" i="2"/>
  <c r="C938" i="2"/>
  <c r="C1890" i="2"/>
  <c r="B1944" i="2"/>
  <c r="B967" i="2"/>
  <c r="B152" i="2"/>
  <c r="C749" i="2"/>
  <c r="B474" i="2"/>
  <c r="C1557" i="2"/>
  <c r="B1327" i="2"/>
  <c r="C1403" i="2"/>
  <c r="C1565" i="2"/>
  <c r="B378" i="2"/>
  <c r="C1828" i="2"/>
  <c r="B1449" i="2"/>
  <c r="C261" i="2"/>
  <c r="C884" i="2"/>
  <c r="B1495" i="2"/>
  <c r="C1606" i="2"/>
  <c r="B404" i="2"/>
  <c r="B990" i="2"/>
  <c r="C1799" i="2"/>
  <c r="B1545" i="2"/>
  <c r="B819" i="2"/>
  <c r="B1306" i="2"/>
  <c r="C709" i="2"/>
  <c r="B1530" i="2"/>
  <c r="C1096" i="2"/>
  <c r="C849" i="2"/>
  <c r="B395" i="2"/>
  <c r="B1475" i="2"/>
  <c r="C1531" i="2"/>
  <c r="C757" i="2"/>
  <c r="B1782" i="2"/>
  <c r="B811" i="2"/>
  <c r="B1453" i="2"/>
  <c r="B1767" i="2"/>
  <c r="B961" i="2"/>
  <c r="C327" i="2"/>
  <c r="C1552" i="2"/>
  <c r="C1662" i="2"/>
  <c r="C822" i="2"/>
  <c r="B30" i="2"/>
  <c r="B1926" i="2"/>
  <c r="B325" i="2"/>
  <c r="C1726" i="2"/>
  <c r="C1826" i="2"/>
  <c r="B742" i="2"/>
  <c r="C1230" i="2"/>
  <c r="C599" i="2"/>
  <c r="B572" i="2"/>
  <c r="B366" i="2"/>
  <c r="B680" i="2"/>
  <c r="B1368" i="2"/>
  <c r="B608" i="2"/>
  <c r="B788" i="2"/>
  <c r="B333" i="2"/>
  <c r="B938" i="2"/>
  <c r="C284" i="2"/>
  <c r="C569" i="2"/>
  <c r="C1645" i="2"/>
  <c r="B1569" i="2"/>
  <c r="C893" i="2"/>
  <c r="B13" i="2"/>
  <c r="B971" i="2"/>
  <c r="B519" i="2"/>
  <c r="C1902" i="2"/>
  <c r="C1874" i="2"/>
  <c r="C1303" i="2"/>
  <c r="B679" i="2"/>
  <c r="B762" i="2"/>
  <c r="B983" i="2"/>
  <c r="B1639" i="2"/>
  <c r="C1678" i="2"/>
  <c r="B1970" i="2"/>
  <c r="B705" i="2"/>
  <c r="B1130" i="2"/>
  <c r="C1031" i="2"/>
  <c r="B1766" i="2"/>
  <c r="C1483" i="2"/>
  <c r="B556" i="2"/>
  <c r="C469" i="2"/>
  <c r="B1226" i="2"/>
  <c r="B1213" i="2"/>
  <c r="B1911" i="2"/>
  <c r="B1562" i="2"/>
  <c r="B656" i="2"/>
  <c r="C1628" i="2"/>
  <c r="C1290" i="2"/>
  <c r="B289" i="2"/>
  <c r="B904" i="2"/>
  <c r="C1253" i="2"/>
  <c r="C378" i="2"/>
  <c r="C291" i="2"/>
  <c r="B1561" i="2"/>
  <c r="B1127" i="2"/>
  <c r="C1447" i="2"/>
  <c r="B369" i="2"/>
  <c r="C1976" i="2"/>
  <c r="B721" i="2"/>
  <c r="C792" i="2"/>
  <c r="B222" i="2"/>
  <c r="C1332" i="2"/>
  <c r="C821" i="2"/>
  <c r="B1853" i="2"/>
  <c r="B1801" i="2"/>
  <c r="B1231" i="2"/>
  <c r="B995" i="2"/>
  <c r="C1197" i="2"/>
  <c r="C1231" i="2"/>
  <c r="B1832" i="2"/>
  <c r="C1879" i="2"/>
  <c r="B1553" i="2"/>
  <c r="C852" i="2"/>
  <c r="C1084" i="2"/>
  <c r="C898" i="2"/>
  <c r="C552" i="2"/>
  <c r="B174" i="2"/>
  <c r="B803" i="2"/>
  <c r="C417" i="2"/>
  <c r="B1868" i="2"/>
  <c r="C1961" i="2"/>
  <c r="C1429" i="2"/>
  <c r="C847" i="2"/>
  <c r="B363" i="2"/>
  <c r="C1660" i="2"/>
  <c r="C1233" i="2"/>
  <c r="C1453" i="2"/>
  <c r="B399" i="2"/>
  <c r="C1174" i="2"/>
  <c r="C1066" i="2"/>
  <c r="C504" i="2"/>
  <c r="B834" i="2"/>
  <c r="C1693" i="2"/>
  <c r="B341" i="2"/>
  <c r="B1319" i="2"/>
  <c r="C790" i="2"/>
  <c r="B635" i="2"/>
  <c r="C994" i="2"/>
  <c r="B488" i="2"/>
  <c r="B1135" i="2"/>
  <c r="B16" i="2"/>
  <c r="B1488" i="2"/>
  <c r="C1768" i="2"/>
  <c r="C882" i="2"/>
  <c r="B907" i="2"/>
  <c r="C377" i="2"/>
  <c r="C913" i="2"/>
  <c r="B940" i="2"/>
  <c r="B1392" i="2"/>
  <c r="B1492" i="2"/>
  <c r="C1229" i="2"/>
  <c r="B1707" i="2"/>
  <c r="C1059" i="2"/>
  <c r="C535" i="2"/>
  <c r="C1597" i="2"/>
  <c r="C1444" i="2"/>
  <c r="B503" i="2"/>
  <c r="B1259" i="2"/>
  <c r="C1077" i="2"/>
  <c r="B598" i="2"/>
  <c r="C523" i="2"/>
  <c r="B1146" i="2"/>
  <c r="B1607" i="2"/>
  <c r="C1280" i="2"/>
  <c r="B1174" i="2"/>
  <c r="B1896" i="2"/>
  <c r="B48" i="2"/>
  <c r="B122" i="2"/>
  <c r="B715" i="2"/>
  <c r="C1131" i="2"/>
  <c r="C1917" i="2"/>
  <c r="B89" i="2"/>
  <c r="B1922" i="2"/>
  <c r="C742" i="2"/>
  <c r="B1802" i="2"/>
  <c r="B1058" i="2"/>
  <c r="B890" i="2"/>
  <c r="B1666" i="2"/>
  <c r="B1148" i="2"/>
  <c r="B1210" i="2"/>
  <c r="B626" i="2"/>
  <c r="B694" i="2"/>
  <c r="B959" i="2"/>
  <c r="C576" i="2"/>
  <c r="B1252" i="2"/>
  <c r="B1770" i="2"/>
  <c r="B540" i="2"/>
  <c r="B1735" i="2"/>
  <c r="C1522" i="2"/>
  <c r="B771" i="2"/>
  <c r="C348" i="2"/>
  <c r="B130" i="2"/>
  <c r="B1623" i="2"/>
  <c r="C1202" i="2"/>
  <c r="C1150" i="2"/>
  <c r="B1181" i="2"/>
  <c r="C1030" i="2"/>
  <c r="B1229" i="2"/>
  <c r="B428" i="2"/>
  <c r="C604" i="2"/>
  <c r="B717" i="2"/>
  <c r="C1605" i="2"/>
  <c r="B100" i="2"/>
  <c r="B18" i="2"/>
  <c r="C1355" i="2"/>
  <c r="C489" i="2"/>
  <c r="B772" i="2"/>
  <c r="C528" i="2"/>
  <c r="B1505" i="2"/>
  <c r="C431" i="2"/>
  <c r="B1637" i="2"/>
  <c r="C1392" i="2"/>
  <c r="C1385" i="2"/>
  <c r="C1263" i="2"/>
  <c r="C1122" i="2"/>
  <c r="C1146" i="2"/>
  <c r="B278" i="2"/>
  <c r="B693" i="2"/>
  <c r="B1217" i="2"/>
  <c r="C549" i="2"/>
  <c r="B1941" i="2"/>
  <c r="C784" i="2"/>
  <c r="B1700" i="2"/>
  <c r="B416" i="2"/>
  <c r="C892" i="2"/>
  <c r="C902" i="2"/>
  <c r="C1101" i="2"/>
  <c r="B774" i="2"/>
  <c r="B62" i="2"/>
  <c r="B926" i="2"/>
  <c r="C831" i="2"/>
  <c r="B1969" i="2"/>
  <c r="B1873" i="2"/>
  <c r="B713" i="2"/>
  <c r="C1018" i="2"/>
  <c r="B1320" i="2"/>
  <c r="B523" i="2"/>
  <c r="B1062" i="2"/>
  <c r="C961" i="2"/>
  <c r="B805" i="2"/>
  <c r="C1204" i="2"/>
  <c r="C1374" i="2"/>
  <c r="C443" i="2"/>
  <c r="C534" i="2"/>
  <c r="C1467" i="2"/>
  <c r="B1777" i="2"/>
  <c r="B292" i="2"/>
  <c r="B728" i="2"/>
  <c r="B723" i="2"/>
  <c r="B1887" i="2"/>
  <c r="B1322" i="2"/>
  <c r="C460" i="2"/>
  <c r="B564" i="2"/>
  <c r="C382" i="2"/>
  <c r="B637" i="2"/>
  <c r="B1090" i="2"/>
  <c r="B140" i="2"/>
  <c r="C1967" i="2"/>
  <c r="B1346" i="2"/>
  <c r="B1559" i="2"/>
  <c r="C1553" i="2"/>
  <c r="C942" i="2"/>
  <c r="C738" i="2"/>
  <c r="C1670" i="2"/>
  <c r="B23" i="2"/>
  <c r="C522" i="2"/>
  <c r="B420" i="2"/>
  <c r="C278" i="2"/>
  <c r="B10" i="2"/>
  <c r="C782" i="2"/>
  <c r="B1676" i="2"/>
  <c r="B1138" i="2"/>
  <c r="B1400" i="2"/>
  <c r="B650" i="2"/>
  <c r="B1434" i="2"/>
  <c r="B1081" i="2"/>
  <c r="C313" i="2"/>
  <c r="C1407" i="2"/>
  <c r="B1715" i="2"/>
  <c r="B281" i="2"/>
  <c r="B512" i="2"/>
  <c r="C250" i="2"/>
  <c r="B1008" i="2"/>
  <c r="C1863" i="2"/>
  <c r="B497" i="2"/>
  <c r="B226" i="2"/>
  <c r="C451" i="2"/>
  <c r="B1087" i="2"/>
  <c r="C1192" i="2"/>
  <c r="B208" i="2"/>
  <c r="C472" i="2"/>
  <c r="B1438" i="2"/>
  <c r="B782" i="2"/>
  <c r="B1184" i="2"/>
  <c r="B1015" i="2"/>
  <c r="B1032" i="2"/>
  <c r="C1538" i="2"/>
  <c r="B1263" i="2"/>
  <c r="C1889" i="2"/>
  <c r="C1130" i="2"/>
  <c r="C967" i="2"/>
  <c r="B566" i="2"/>
  <c r="B549" i="2"/>
  <c r="C1457" i="2"/>
  <c r="C1928" i="2"/>
  <c r="C812" i="2"/>
  <c r="B288" i="2"/>
  <c r="B107" i="2"/>
  <c r="C1551" i="2"/>
  <c r="C1739" i="2"/>
  <c r="C1029" i="2"/>
  <c r="C1959" i="2"/>
  <c r="C740" i="2"/>
  <c r="B615" i="2"/>
  <c r="B45" i="2"/>
  <c r="C301" i="2"/>
  <c r="B727" i="2"/>
  <c r="B19" i="2"/>
  <c r="B1415" i="2"/>
  <c r="C561" i="2"/>
  <c r="B1846" i="2"/>
  <c r="B1429" i="2"/>
  <c r="C160" i="2"/>
  <c r="C643" i="2"/>
  <c r="C1088" i="2"/>
  <c r="B1705" i="2"/>
  <c r="B85" i="2"/>
  <c r="C1850" i="2"/>
  <c r="C1866" i="2"/>
  <c r="C1539" i="2"/>
  <c r="B343" i="2"/>
  <c r="B35" i="2"/>
  <c r="B364" i="2"/>
  <c r="B104" i="2"/>
  <c r="B1384" i="2"/>
  <c r="C1934" i="2"/>
  <c r="B1142" i="2"/>
  <c r="B1869" i="2"/>
  <c r="B1088" i="2"/>
  <c r="B1863" i="2"/>
  <c r="C1064" i="2"/>
  <c r="B44" i="2"/>
  <c r="B531" i="2"/>
  <c r="B1604" i="2"/>
  <c r="B747" i="2"/>
  <c r="B1546" i="2"/>
  <c r="C1543" i="2"/>
  <c r="C676" i="2"/>
  <c r="C1307" i="2"/>
  <c r="B502" i="2"/>
  <c r="C1705" i="2"/>
  <c r="B1916" i="2"/>
  <c r="C630" i="2"/>
  <c r="C1396" i="2"/>
  <c r="C996" i="2"/>
  <c r="C1791" i="2"/>
  <c r="B1697" i="2"/>
  <c r="C499" i="2"/>
  <c r="C379" i="2"/>
  <c r="C1973" i="2"/>
  <c r="C1272" i="2"/>
  <c r="B1018" i="2"/>
  <c r="B573" i="2"/>
  <c r="B751" i="2"/>
  <c r="B1427" i="2"/>
  <c r="B804" i="2"/>
  <c r="B1125" i="2"/>
  <c r="B972" i="2"/>
  <c r="B1305" i="2"/>
  <c r="C1649" i="2"/>
  <c r="C1901" i="2"/>
  <c r="B1050" i="2"/>
  <c r="C1728" i="2"/>
  <c r="B955" i="2"/>
  <c r="B1752" i="2"/>
  <c r="B1750" i="2"/>
  <c r="B1758" i="2"/>
  <c r="B1428" i="2"/>
  <c r="B1360" i="2"/>
  <c r="B1276" i="2"/>
  <c r="B300" i="2"/>
  <c r="B151" i="2"/>
  <c r="C677" i="2"/>
  <c r="C455" i="2"/>
  <c r="C876" i="2"/>
  <c r="C914" i="2"/>
  <c r="C846" i="2"/>
  <c r="C896" i="2"/>
  <c r="B910" i="2"/>
  <c r="C1589" i="2"/>
  <c r="B618" i="2"/>
  <c r="B1450" i="2"/>
  <c r="C1744" i="2"/>
  <c r="C958" i="2"/>
  <c r="C1570" i="2"/>
  <c r="C424" i="2"/>
  <c r="C1305" i="2"/>
  <c r="C312" i="2"/>
  <c r="C855" i="2"/>
  <c r="B1719" i="2"/>
  <c r="B358" i="2"/>
  <c r="B1124" i="2"/>
  <c r="B1077" i="2"/>
  <c r="C1106" i="2"/>
  <c r="B1790" i="2"/>
  <c r="B944" i="2"/>
  <c r="B274" i="2"/>
  <c r="C751" i="2"/>
  <c r="C705" i="2"/>
  <c r="C1504" i="2"/>
  <c r="B1249" i="2"/>
  <c r="B317" i="2"/>
  <c r="B1633" i="2"/>
  <c r="B1722" i="2"/>
  <c r="B1848" i="2"/>
  <c r="C1609" i="2"/>
  <c r="B1419" i="2"/>
  <c r="B930" i="2"/>
  <c r="C838" i="2"/>
  <c r="B1356" i="2"/>
  <c r="B1563" i="2"/>
  <c r="B1278" i="2"/>
  <c r="B1225" i="2"/>
  <c r="B1216" i="2"/>
  <c r="C1573" i="2"/>
  <c r="C553" i="2"/>
  <c r="C1188" i="2"/>
  <c r="C430" i="2"/>
  <c r="C1776" i="2"/>
  <c r="B1572" i="2"/>
  <c r="C1211" i="2"/>
  <c r="B1107" i="2"/>
  <c r="C634" i="2"/>
  <c r="B700" i="2"/>
  <c r="C661" i="2"/>
  <c r="B1131" i="2"/>
  <c r="B47" i="2"/>
  <c r="B1168" i="2"/>
  <c r="B196" i="2"/>
  <c r="B477" i="2"/>
  <c r="B1821" i="2"/>
  <c r="B355" i="2"/>
  <c r="C296" i="2"/>
  <c r="B183" i="2"/>
  <c r="B1669" i="2"/>
  <c r="C1833" i="2"/>
  <c r="B168" i="2"/>
  <c r="C389" i="2"/>
  <c r="B1883" i="2"/>
  <c r="B874" i="2"/>
  <c r="C1635" i="2"/>
  <c r="B401" i="2"/>
  <c r="B1884" i="2"/>
  <c r="C1386" i="2"/>
  <c r="B55" i="2"/>
  <c r="B1831" i="2"/>
  <c r="B1009" i="2"/>
  <c r="C158" i="2"/>
  <c r="B960" i="2"/>
  <c r="B375" i="2"/>
  <c r="C1208" i="2"/>
  <c r="B1958" i="2"/>
  <c r="B43" i="2"/>
  <c r="B1256" i="2"/>
  <c r="B1296" i="2"/>
  <c r="C346" i="2"/>
  <c r="C1699" i="2"/>
  <c r="C480" i="2"/>
  <c r="B1713" i="2"/>
  <c r="C309" i="2"/>
  <c r="B173" i="2"/>
  <c r="B520" i="2"/>
  <c r="C274" i="2"/>
  <c r="C1351" i="2"/>
  <c r="B1034" i="2"/>
  <c r="B460" i="2"/>
  <c r="B1218" i="2"/>
  <c r="B1268" i="2"/>
  <c r="B1364" i="2"/>
  <c r="B950" i="2"/>
  <c r="B557" i="2"/>
  <c r="B212" i="2"/>
  <c r="C1685" i="2"/>
  <c r="B1934" i="2"/>
  <c r="B1354" i="2"/>
  <c r="B1800" i="2"/>
  <c r="B1352" i="2"/>
  <c r="B616" i="2"/>
  <c r="C1962" i="2"/>
  <c r="C619" i="2"/>
  <c r="B629" i="2"/>
  <c r="C1306" i="2"/>
  <c r="C1707" i="2"/>
  <c r="C1898" i="2"/>
  <c r="B1222" i="2"/>
  <c r="B1933" i="2"/>
  <c r="B1683" i="2"/>
  <c r="C408" i="2"/>
  <c r="B1902" i="2"/>
  <c r="B1764" i="2"/>
  <c r="C862" i="2"/>
  <c r="C329" i="2"/>
  <c r="C1783" i="2"/>
  <c r="B1303" i="2"/>
  <c r="B213" i="2"/>
  <c r="B997" i="2"/>
  <c r="B1065" i="2"/>
  <c r="B1230" i="2"/>
  <c r="C1881" i="2"/>
  <c r="C495" i="2"/>
  <c r="B150" i="2"/>
  <c r="C1497" i="2"/>
  <c r="C247" i="2"/>
  <c r="B1568" i="2"/>
  <c r="C1283" i="2"/>
  <c r="B994" i="2"/>
  <c r="C1580" i="2"/>
  <c r="C1563" i="2"/>
  <c r="B1378" i="2"/>
  <c r="C934" i="2"/>
  <c r="C454" i="2"/>
  <c r="B577" i="2"/>
  <c r="B1517" i="2"/>
  <c r="C1664" i="2"/>
  <c r="B110" i="2"/>
  <c r="B1500" i="2"/>
  <c r="B211" i="2"/>
  <c r="B732" i="2"/>
  <c r="C1505" i="2"/>
  <c r="C1311" i="2"/>
  <c r="C1393" i="2"/>
  <c r="B1420" i="2"/>
  <c r="C1607" i="2"/>
  <c r="C1953" i="2"/>
  <c r="C270" i="2"/>
  <c r="B368" i="2"/>
  <c r="C548" i="2"/>
  <c r="C1313" i="2"/>
  <c r="C324" i="2"/>
  <c r="C1348" i="2"/>
  <c r="C933" i="2"/>
  <c r="C1257" i="2"/>
  <c r="B218" i="2"/>
  <c r="B314" i="2"/>
  <c r="C1007" i="2"/>
  <c r="B555" i="2"/>
  <c r="B1490" i="2"/>
  <c r="B1678" i="2"/>
  <c r="B1844" i="2"/>
  <c r="C995" i="2"/>
  <c r="C614" i="2"/>
  <c r="B988" i="2"/>
  <c r="C347" i="2"/>
  <c r="B686" i="2"/>
  <c r="C1199" i="2"/>
  <c r="C392" i="2"/>
  <c r="B1759" i="2"/>
  <c r="B1742" i="2"/>
  <c r="B507" i="2"/>
  <c r="B518" i="2"/>
  <c r="B482" i="2"/>
  <c r="B1176" i="2"/>
  <c r="C620" i="2"/>
  <c r="B683" i="2"/>
  <c r="C466" i="2"/>
  <c r="C1074" i="2"/>
  <c r="B1763" i="2"/>
  <c r="B1169" i="2"/>
  <c r="C823" i="2"/>
  <c r="C1671" i="2"/>
  <c r="C202" i="2"/>
  <c r="B1795" i="2"/>
  <c r="B1017" i="2"/>
  <c r="B1529" i="2"/>
  <c r="B794" i="2"/>
  <c r="C756" i="2"/>
  <c r="C1378" i="2"/>
  <c r="B229" i="2"/>
  <c r="C1109" i="2"/>
  <c r="C694" i="2"/>
  <c r="B1111" i="2"/>
  <c r="C1081" i="2"/>
  <c r="B149" i="2"/>
  <c r="B60" i="2"/>
  <c r="C1056" i="2"/>
  <c r="C342" i="2"/>
  <c r="B342" i="2"/>
  <c r="B392" i="2"/>
  <c r="C917" i="2"/>
  <c r="C1262" i="2"/>
  <c r="C783" i="2"/>
  <c r="C1773" i="2"/>
  <c r="C1411" i="2"/>
  <c r="C789" i="2"/>
  <c r="C1465" i="2"/>
  <c r="C571" i="2"/>
  <c r="C1487" i="2"/>
  <c r="B1376" i="2"/>
  <c r="C1115" i="2"/>
  <c r="C689" i="2"/>
  <c r="C1117" i="2"/>
  <c r="B1335" i="2"/>
  <c r="B305" i="2"/>
  <c r="B435" i="2"/>
  <c r="C1529" i="2"/>
  <c r="B1649" i="2"/>
  <c r="C1443" i="2"/>
  <c r="B1746" i="2"/>
  <c r="B114" i="2"/>
  <c r="B1474" i="2"/>
  <c r="C471" i="2"/>
  <c r="B759" i="2"/>
  <c r="B1410" i="2"/>
  <c r="B492" i="2"/>
  <c r="B1465" i="2"/>
  <c r="B1038" i="2"/>
  <c r="C1946" i="2"/>
  <c r="C1357" i="2"/>
  <c r="C1775" i="2"/>
  <c r="B1597" i="2"/>
  <c r="B1932" i="2"/>
  <c r="B167" i="2"/>
  <c r="B1405" i="2"/>
  <c r="C240" i="2"/>
  <c r="B1060" i="2"/>
  <c r="C985" i="2"/>
  <c r="B1905" i="2"/>
  <c r="C260" i="2"/>
  <c r="B469" i="2"/>
  <c r="C1882" i="2"/>
  <c r="C1017" i="2"/>
  <c r="C411" i="2"/>
  <c r="C1353" i="2"/>
  <c r="C867" i="2"/>
  <c r="B849" i="2"/>
  <c r="C93" i="2" a="1"/>
  <c r="C15" i="2" a="1"/>
  <c r="C152" i="2" a="1"/>
  <c r="C171" i="2" a="1"/>
  <c r="C157" i="2" a="1"/>
  <c r="C25" i="2" a="1"/>
  <c r="C71" i="2" a="1"/>
  <c r="C97" i="2" a="1"/>
  <c r="C22" i="2" a="1"/>
  <c r="C9" i="2" a="1"/>
  <c r="C17" i="2" a="1"/>
  <c r="C62" i="2" a="1"/>
  <c r="C33" i="2" a="1"/>
  <c r="C59" i="2" a="1"/>
  <c r="C27" i="2" a="1"/>
  <c r="C23" i="2" a="1"/>
  <c r="C131" i="2" a="1"/>
  <c r="C221" i="2" a="1"/>
  <c r="C132" i="2" a="1"/>
  <c r="C99" i="2" a="1"/>
  <c r="C88" i="2" a="1"/>
  <c r="C14" i="2" a="1"/>
  <c r="C104" i="2" a="1"/>
  <c r="C10" i="2" a="1"/>
  <c r="C213" i="2" a="1"/>
  <c r="C197" i="2" a="1"/>
  <c r="C64" i="2" a="1"/>
  <c r="C95" i="2" a="1"/>
  <c r="C55" i="2" a="1"/>
  <c r="C142" i="2" a="1"/>
  <c r="C109" i="2" a="1"/>
  <c r="C31" i="2" a="1"/>
  <c r="C42" i="2" a="1"/>
  <c r="C69" i="2" a="1"/>
  <c r="C40" i="2" a="1"/>
  <c r="C187" i="2" a="1"/>
  <c r="C212" i="2" a="1"/>
  <c r="C230" i="2" a="1"/>
  <c r="C219" i="2" a="1"/>
  <c r="C206" i="2" a="1"/>
  <c r="C65" i="2" a="1"/>
  <c r="C112" i="2" a="1"/>
  <c r="C182" i="2" a="1"/>
  <c r="C26" i="2" a="1"/>
  <c r="C44" i="2" a="1"/>
  <c r="C66" i="2" a="1"/>
  <c r="C138" i="2" a="1"/>
  <c r="C60" i="2" a="1"/>
  <c r="C150" i="2" a="1"/>
  <c r="C147" i="2" a="1"/>
  <c r="C76" i="2" a="1"/>
  <c r="C176" i="2" a="1"/>
  <c r="C139" i="2" a="1"/>
  <c r="C32" i="2" a="1"/>
  <c r="C87" i="2" a="1"/>
  <c r="C108" i="2" a="1"/>
  <c r="C155" i="2" a="1"/>
  <c r="C149" i="2" a="1"/>
  <c r="C53" i="2" a="1"/>
  <c r="C111" i="2" a="1"/>
  <c r="C36" i="2" a="1"/>
  <c r="C180" i="2" a="1"/>
  <c r="C188" i="2" a="1"/>
  <c r="C210" i="2" a="1"/>
  <c r="C141" i="2" a="1"/>
  <c r="C83" i="2" a="1"/>
  <c r="C200" i="2" a="1"/>
  <c r="C107" i="2" a="1"/>
  <c r="C37" i="2" a="1"/>
  <c r="C126" i="2" a="1"/>
  <c r="C56" i="2" a="1"/>
  <c r="C215" i="2" a="1"/>
  <c r="C75" i="2" a="1"/>
  <c r="C110" i="2" a="1"/>
  <c r="C113" i="2" a="1"/>
  <c r="C72" i="2" a="1"/>
  <c r="C12" i="2" a="1"/>
  <c r="C19" i="2" a="1"/>
  <c r="C81" i="2" a="1"/>
  <c r="C34" i="2" a="1"/>
  <c r="C114" i="2" a="1"/>
  <c r="C57" i="2" a="1"/>
  <c r="C61" i="2" a="1"/>
  <c r="C208" i="2" a="1"/>
  <c r="C18" i="2" a="1"/>
  <c r="C196" i="2" a="1"/>
  <c r="C2" i="2" a="1"/>
  <c r="C20" i="2" a="1"/>
  <c r="C123" i="2" a="1"/>
  <c r="C189" i="2" a="1"/>
  <c r="C133" i="2" a="1"/>
  <c r="C85" i="2" a="1"/>
  <c r="C84" i="2" a="1"/>
  <c r="C223" i="2" a="1"/>
  <c r="C198" i="2" a="1"/>
  <c r="C226" i="2" a="1"/>
  <c r="C101" i="2" a="1"/>
  <c r="C211" i="2" a="1"/>
  <c r="C120" i="2" a="1"/>
  <c r="C224" i="2" a="1"/>
  <c r="C115" i="2" a="1"/>
  <c r="C177" i="2" a="1"/>
  <c r="C102" i="2" a="1"/>
  <c r="C143" i="2" a="1"/>
  <c r="C193" i="2" a="1"/>
  <c r="C185" i="2" a="1"/>
  <c r="C89" i="2" a="1"/>
  <c r="C140" i="2" a="1"/>
  <c r="C3" i="2" a="1"/>
  <c r="C105" i="2" a="1"/>
  <c r="C92" i="2" a="1"/>
  <c r="C5" i="2" a="1"/>
  <c r="C58" i="2" a="1"/>
  <c r="C46" i="2" a="1"/>
  <c r="C146" i="2" a="1"/>
  <c r="C103" i="2" a="1"/>
  <c r="C70" i="2" a="1"/>
  <c r="C153" i="2" a="1"/>
  <c r="C54" i="2" a="1"/>
  <c r="C191" i="2" a="1"/>
  <c r="C30" i="2" a="1"/>
  <c r="C82" i="2" a="1"/>
  <c r="C186" i="2" a="1"/>
  <c r="C229" i="2" a="1"/>
  <c r="C38" i="2" a="1"/>
  <c r="C100" i="2" a="1"/>
  <c r="C125" i="2" a="1"/>
  <c r="C195" i="2" a="1"/>
  <c r="C24" i="2" a="1"/>
  <c r="C181" i="2" a="1"/>
  <c r="C91" i="2" a="1"/>
  <c r="C47" i="2" a="1"/>
  <c r="C172" i="2" a="1"/>
  <c r="C106" i="2" a="1"/>
  <c r="C183" i="2" a="1"/>
  <c r="C122" i="2" a="1"/>
  <c r="C127" i="2" a="1"/>
  <c r="C148" i="2" a="1"/>
  <c r="C145" i="2" a="1"/>
  <c r="C137" i="2" a="1"/>
  <c r="C73" i="2" a="1"/>
  <c r="C144" i="2" a="1"/>
  <c r="C179" i="2" a="1"/>
  <c r="C207" i="2" a="1"/>
  <c r="C117" i="2" a="1"/>
  <c r="C190" i="2" a="1"/>
  <c r="C205" i="2" a="1"/>
  <c r="C52" i="2" a="1"/>
  <c r="C134" i="2" a="1"/>
  <c r="C184" i="2" a="1"/>
  <c r="C199" i="2" a="1"/>
  <c r="C128" i="2" a="1"/>
  <c r="C156" i="2" a="1"/>
  <c r="C28" i="2" a="1"/>
  <c r="C16" i="2" a="1"/>
  <c r="C151" i="2" a="1"/>
  <c r="C21" i="2" a="1"/>
  <c r="C4" i="2" a="1"/>
  <c r="C90" i="2" a="1"/>
  <c r="C173" i="2" a="1"/>
  <c r="C80" i="2" a="1"/>
  <c r="C78" i="2" a="1"/>
  <c r="C154" i="2" a="1"/>
  <c r="C94" i="2" a="1"/>
  <c r="C63" i="2" a="1"/>
  <c r="C77" i="2" a="1"/>
  <c r="C29" i="2" a="1"/>
  <c r="C74" i="2" a="1"/>
  <c r="C214" i="2" a="1"/>
  <c r="C45" i="2" a="1"/>
  <c r="C209" i="2" a="1"/>
  <c r="C116" i="2" a="1"/>
  <c r="C79" i="2" a="1"/>
  <c r="C194" i="2" a="1"/>
  <c r="C225" i="2" a="1"/>
  <c r="C222" i="2" a="1"/>
  <c r="C178" i="2" a="1"/>
  <c r="C86" i="2" a="1"/>
  <c r="C35" i="2" a="1"/>
  <c r="C220" i="2" a="1"/>
  <c r="C119" i="2" a="1"/>
  <c r="C175" i="2" a="1"/>
  <c r="C216" i="2" a="1"/>
  <c r="C124" i="2" a="1"/>
  <c r="C121" i="2" a="1"/>
  <c r="C118" i="2" a="1"/>
  <c r="C41" i="2" a="1"/>
  <c r="C39" i="2" a="1"/>
  <c r="C136" i="2" a="1"/>
  <c r="C217" i="2" a="1"/>
  <c r="C7" i="2" a="1"/>
  <c r="C218" i="2" a="1"/>
  <c r="C13" i="2" a="1"/>
  <c r="C68" i="2" a="1"/>
  <c r="C11" i="2" a="1"/>
  <c r="C6" i="2" a="1"/>
  <c r="C43" i="2" a="1"/>
  <c r="C8" i="2" a="1"/>
  <c r="C98" i="2" a="1"/>
  <c r="C174" i="2" a="1"/>
  <c r="C129" i="2" a="1"/>
  <c r="C67" i="2" a="1"/>
  <c r="C192" i="2" a="1"/>
  <c r="C135" i="2" a="1"/>
  <c r="C96" i="2" a="1"/>
  <c r="C130" i="2" a="1"/>
  <c r="C130" i="2" l="1"/>
  <c r="C96" i="2"/>
  <c r="C135" i="2"/>
  <c r="C192" i="2"/>
  <c r="C67" i="2"/>
  <c r="C129" i="2"/>
  <c r="C174" i="2"/>
  <c r="C98" i="2"/>
  <c r="C8" i="2"/>
  <c r="C43" i="2"/>
  <c r="C6" i="2"/>
  <c r="C11" i="2"/>
  <c r="C68" i="2"/>
  <c r="C13" i="2"/>
  <c r="C218" i="2"/>
  <c r="C7" i="2"/>
  <c r="C217" i="2"/>
  <c r="C136" i="2"/>
  <c r="C39" i="2"/>
  <c r="C41" i="2"/>
  <c r="C118" i="2"/>
  <c r="C121" i="2"/>
  <c r="C124" i="2"/>
  <c r="C216" i="2"/>
  <c r="C175" i="2"/>
  <c r="C119" i="2"/>
  <c r="C220" i="2"/>
  <c r="C35" i="2"/>
  <c r="C86" i="2"/>
  <c r="C178" i="2"/>
  <c r="C222" i="2"/>
  <c r="C225" i="2"/>
  <c r="C194" i="2"/>
  <c r="C79" i="2"/>
  <c r="C116" i="2"/>
  <c r="C209" i="2"/>
  <c r="C45" i="2"/>
  <c r="C214" i="2"/>
  <c r="C74" i="2"/>
  <c r="C29" i="2"/>
  <c r="C77" i="2"/>
  <c r="C63" i="2"/>
  <c r="C94" i="2"/>
  <c r="C154" i="2"/>
  <c r="C78" i="2"/>
  <c r="C80" i="2"/>
  <c r="C173" i="2"/>
  <c r="C90" i="2"/>
  <c r="C4" i="2"/>
  <c r="C21" i="2"/>
  <c r="C151" i="2"/>
  <c r="C16" i="2"/>
  <c r="C28" i="2"/>
  <c r="C156" i="2"/>
  <c r="C128" i="2"/>
  <c r="C199" i="2"/>
  <c r="C184" i="2"/>
  <c r="C134" i="2"/>
  <c r="C52" i="2"/>
  <c r="C205" i="2"/>
  <c r="C190" i="2"/>
  <c r="C117" i="2"/>
  <c r="C207" i="2"/>
  <c r="C179" i="2"/>
  <c r="C144" i="2"/>
  <c r="C73" i="2"/>
  <c r="C137" i="2"/>
  <c r="C145" i="2"/>
  <c r="C148" i="2"/>
  <c r="C127" i="2"/>
  <c r="C122" i="2"/>
  <c r="C183" i="2"/>
  <c r="C106" i="2"/>
  <c r="C172" i="2"/>
  <c r="C47" i="2"/>
  <c r="C91" i="2"/>
  <c r="C181" i="2"/>
  <c r="C24" i="2"/>
  <c r="C195" i="2"/>
  <c r="C125" i="2"/>
  <c r="C100" i="2"/>
  <c r="C38" i="2"/>
  <c r="C229" i="2"/>
  <c r="C186" i="2"/>
  <c r="C82" i="2"/>
  <c r="C30" i="2"/>
  <c r="C191" i="2"/>
  <c r="C54" i="2"/>
  <c r="C153" i="2"/>
  <c r="C70" i="2"/>
  <c r="C103" i="2"/>
  <c r="C146" i="2"/>
  <c r="C46" i="2"/>
  <c r="C58" i="2"/>
  <c r="C5" i="2"/>
  <c r="C92" i="2"/>
  <c r="C105" i="2"/>
  <c r="C3" i="2"/>
  <c r="C140" i="2"/>
  <c r="C89" i="2"/>
  <c r="C185" i="2"/>
  <c r="C193" i="2"/>
  <c r="C143" i="2"/>
  <c r="C102" i="2"/>
  <c r="C177" i="2"/>
  <c r="C115" i="2"/>
  <c r="C224" i="2"/>
  <c r="C120" i="2"/>
  <c r="C211" i="2"/>
  <c r="C101" i="2"/>
  <c r="C226" i="2"/>
  <c r="C198" i="2"/>
  <c r="C223" i="2"/>
  <c r="C84" i="2"/>
  <c r="C85" i="2"/>
  <c r="C133" i="2"/>
  <c r="C189" i="2"/>
  <c r="C123" i="2"/>
  <c r="C20" i="2"/>
  <c r="C2" i="2"/>
  <c r="C196" i="2"/>
  <c r="C18" i="2"/>
  <c r="C208" i="2"/>
  <c r="C61" i="2"/>
  <c r="C57" i="2"/>
  <c r="C114" i="2"/>
  <c r="C34" i="2"/>
  <c r="C81" i="2"/>
  <c r="C19" i="2"/>
  <c r="C12" i="2"/>
  <c r="C72" i="2"/>
  <c r="C113" i="2"/>
  <c r="C110" i="2"/>
  <c r="C75" i="2"/>
  <c r="C215" i="2"/>
  <c r="C56" i="2"/>
  <c r="C126" i="2"/>
  <c r="C37" i="2"/>
  <c r="C107" i="2"/>
  <c r="C200" i="2"/>
  <c r="C83" i="2"/>
  <c r="C141" i="2"/>
  <c r="C210" i="2"/>
  <c r="C188" i="2"/>
  <c r="C180" i="2"/>
  <c r="C36" i="2"/>
  <c r="C111" i="2"/>
  <c r="C53" i="2"/>
  <c r="C149" i="2"/>
  <c r="C155" i="2"/>
  <c r="C108" i="2"/>
  <c r="C87" i="2"/>
  <c r="C32" i="2"/>
  <c r="C139" i="2"/>
  <c r="C176" i="2"/>
  <c r="C76" i="2"/>
  <c r="C147" i="2"/>
  <c r="C150" i="2"/>
  <c r="C60" i="2"/>
  <c r="C138" i="2"/>
  <c r="C66" i="2"/>
  <c r="C44" i="2"/>
  <c r="C26" i="2"/>
  <c r="C182" i="2"/>
  <c r="C112" i="2"/>
  <c r="C65" i="2"/>
  <c r="C206" i="2"/>
  <c r="C219" i="2"/>
  <c r="C230" i="2"/>
  <c r="C212" i="2"/>
  <c r="C187" i="2"/>
  <c r="C40" i="2"/>
  <c r="C69" i="2"/>
  <c r="C42" i="2"/>
  <c r="C31" i="2"/>
  <c r="C109" i="2"/>
  <c r="C142" i="2"/>
  <c r="C55" i="2"/>
  <c r="C95" i="2"/>
  <c r="C64" i="2"/>
  <c r="C197" i="2"/>
  <c r="C213" i="2"/>
  <c r="C10" i="2"/>
  <c r="C104" i="2"/>
  <c r="C14" i="2"/>
  <c r="C88" i="2"/>
  <c r="C99" i="2"/>
  <c r="C132" i="2"/>
  <c r="C221" i="2"/>
  <c r="C131" i="2"/>
  <c r="C23" i="2"/>
  <c r="C27" i="2"/>
  <c r="C59" i="2"/>
  <c r="C33" i="2"/>
  <c r="C62" i="2"/>
  <c r="C17" i="2"/>
  <c r="C9" i="2"/>
  <c r="C22" i="2"/>
  <c r="C97" i="2"/>
  <c r="C71" i="2"/>
  <c r="C25" i="2"/>
  <c r="C157" i="2"/>
  <c r="C171" i="2"/>
  <c r="C152" i="2"/>
  <c r="C15" i="2"/>
  <c r="C93" i="2"/>
  <c r="B6" i="290"/>
  <c r="B4" i="290"/>
  <c r="B5" i="290"/>
  <c r="B3" i="290"/>
  <c r="B14" i="290" l="1"/>
  <c r="B16" i="290"/>
  <c r="B15" i="290"/>
  <c r="B17" i="29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<sst xmlns="http://schemas.openxmlformats.org/spreadsheetml/2006/main" count="36" uniqueCount="32">
  <si>
    <t>SW CV</t>
  </si>
  <si>
    <t>Test CV</t>
  </si>
  <si>
    <t>Status</t>
  </si>
  <si>
    <t>Old CV</t>
  </si>
  <si>
    <t>New CV</t>
  </si>
  <si>
    <t>Updated</t>
  </si>
  <si>
    <t>comments</t>
  </si>
  <si>
    <t>CV-Number</t>
  </si>
  <si>
    <t>Work Item</t>
  </si>
  <si>
    <t>Test Status</t>
  </si>
  <si>
    <t>Comments</t>
  </si>
  <si>
    <t>Owner</t>
  </si>
  <si>
    <t>Jira task</t>
  </si>
  <si>
    <t>Last update</t>
  </si>
  <si>
    <t>Linked Work Items</t>
  </si>
  <si>
    <t>Last Update Time</t>
  </si>
  <si>
    <t>Script name</t>
  </si>
  <si>
    <t>Obs.:</t>
  </si>
  <si>
    <t>Total amount of requirements</t>
  </si>
  <si>
    <t>Requirement COMPLETED</t>
  </si>
  <si>
    <t>Requirement with FAILED tests</t>
  </si>
  <si>
    <t>Requirement Pending</t>
  </si>
  <si>
    <t>Requirement ongoing</t>
  </si>
  <si>
    <t>.</t>
  </si>
  <si>
    <t>Current Progress OK</t>
  </si>
  <si>
    <t>Current Progress NOK</t>
  </si>
  <si>
    <t>Current Progress Pending</t>
  </si>
  <si>
    <t>Current Progress ongoing</t>
  </si>
  <si>
    <t>Total Amount of Test Cases</t>
  </si>
  <si>
    <t>Total of Approved Tests</t>
  </si>
  <si>
    <t>Total of Reproved Tests</t>
  </si>
  <si>
    <t>Total Test Yet to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</si>
</sst>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CV-&quot;0"/>
    <numFmt numFmtId="165" formatCode="yyyy\-mm\-dd\ hh:mm"/>
    <numFmt numFmtId="166" formatCode="0.000000000000000000000000000000"/>
    <numFmt numFmtId="167" formatCode="0.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  <charset val="238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000000"/>
      <name val="Segoe UI"/>
      <family val="2"/>
    </font>
    <font>
      <b/>
      <sz val="10"/>
      <color theme="3"/>
      <name val="Arial"/>
      <family val="2"/>
      <charset val="238"/>
    </font>
    <font>
      <u/>
      <sz val="11"/>
      <color indexed="12"/>
      <name val="Calibri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EBF0F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1"/>
    <xf numFmtId="166" fontId="0" fillId="0" borderId="0" xfId="0" applyNumberFormat="1"/>
    <xf numFmtId="11" fontId="0" fillId="0" borderId="0" xfId="0" applyNumberFormat="1"/>
    <xf numFmtId="10" fontId="0" fillId="4" borderId="0" xfId="3" applyNumberFormat="1" applyFont="1" applyFill="1"/>
    <xf numFmtId="10" fontId="0" fillId="5" borderId="0" xfId="3" applyNumberFormat="1" applyFont="1" applyFill="1"/>
    <xf numFmtId="10" fontId="0" fillId="6" borderId="0" xfId="3" applyNumberFormat="1" applyFont="1" applyFill="1"/>
    <xf numFmtId="10" fontId="0" fillId="2" borderId="0" xfId="3" applyNumberFormat="1" applyFont="1" applyFill="1"/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1" applyNumberFormat="1" applyAlignment="1" applyProtection="1">
      <alignment horizontal="center" vertical="center"/>
      <protection locked="0"/>
    </xf>
    <xf numFmtId="0" fontId="2" fillId="0" borderId="0" xfId="1" applyNumberFormat="1" applyFill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2" fillId="3" borderId="0" xfId="1" applyNumberFormat="1" applyFill="1" applyAlignment="1" applyProtection="1">
      <alignment horizontal="center"/>
    </xf>
    <xf numFmtId="164" fontId="2" fillId="0" borderId="1" xfId="1" applyNumberFormat="1" applyBorder="1" applyAlignment="1">
      <alignment horizontal="center" vertical="center"/>
    </xf>
    <xf numFmtId="0" fontId="3" fillId="0" borderId="1" xfId="2" applyBorder="1"/>
    <xf numFmtId="165" fontId="3" fillId="0" borderId="1" xfId="2" applyNumberForma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2" applyFont="1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1" fontId="0" fillId="0" borderId="0" xfId="0" applyNumberFormat="1"/>
    <xf numFmtId="1" fontId="9" fillId="0" borderId="0" xfId="0" applyNumberFormat="1" applyFont="1"/>
    <xf numFmtId="0" fontId="0" fillId="0" borderId="1" xfId="0" applyBorder="1" applyAlignment="1" applyProtection="1">
      <alignment horizontal="center" vertical="center"/>
      <protection locked="0"/>
    </xf>
    <xf numFmtId="0" fontId="1" fillId="0" borderId="0" xfId="0" applyFont="1"/>
    <xf numFmtId="49" fontId="1" fillId="0" borderId="0" xfId="0" applyNumberFormat="1" applyFont="1" applyAlignment="1">
      <alignment horizontal="center" vertical="center"/>
    </xf>
    <xf numFmtId="0" fontId="2" fillId="0" borderId="0" xfId="1" applyAlignment="1" applyProtection="1">
      <alignment horizontal="center" vertical="center"/>
    </xf>
    <xf numFmtId="49" fontId="0" fillId="0" borderId="0" xfId="0" applyNumberFormat="1" applyAlignment="1">
      <alignment horizontal="center" vertical="center"/>
    </xf>
    <xf numFmtId="0" fontId="5" fillId="0" borderId="0" xfId="0" applyFont="1"/>
    <xf numFmtId="0" fontId="2" fillId="0" borderId="0" xfId="1" applyProtection="1">
      <protection locked="0"/>
    </xf>
    <xf numFmtId="0" fontId="2" fillId="0" borderId="0" xfId="1" applyFill="1" applyProtection="1">
      <protection locked="0"/>
    </xf>
    <xf numFmtId="0" fontId="9" fillId="0" borderId="0" xfId="2" applyFont="1"/>
    <xf numFmtId="0" fontId="2" fillId="0" borderId="1" xfId="1" applyBorder="1" applyProtection="1">
      <protection locked="0"/>
    </xf>
    <xf numFmtId="49" fontId="2" fillId="0" borderId="0" xfId="1" applyNumberFormat="1" applyAlignment="1" applyProtection="1">
      <alignment horizontal="center" vertical="center"/>
    </xf>
    <xf numFmtId="49" fontId="2" fillId="0" borderId="0" xfId="1" applyNumberFormat="1" applyAlignment="1" applyProtection="1">
      <alignment horizontal="center"/>
    </xf>
    <xf numFmtId="49" fontId="6" fillId="0" borderId="0" xfId="1" applyNumberFormat="1" applyFont="1" applyAlignment="1" applyProtection="1">
      <alignment horizontal="center" vertical="center"/>
    </xf>
    <xf numFmtId="49" fontId="2" fillId="0" borderId="0" xfId="1" applyNumberFormat="1" applyFill="1" applyAlignment="1" applyProtection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2" fillId="8" borderId="0" xfId="1" applyNumberFormat="1" applyFill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2" fillId="0" borderId="0" xfId="1" applyNumberFormat="1" applyAlignment="1" applyProtection="1">
      <alignment horizontal="center"/>
      <protection locked="0"/>
    </xf>
    <xf numFmtId="49" fontId="2" fillId="0" borderId="0" xfId="1" applyNumberFormat="1" applyAlignment="1" applyProtection="1">
      <alignment horizontal="center" vertical="center"/>
      <protection locked="0"/>
    </xf>
    <xf numFmtId="0" fontId="3" fillId="0" borderId="1" xfId="2" applyBorder="1" applyProtection="1">
      <protection locked="0"/>
    </xf>
    <xf numFmtId="0" fontId="8" fillId="7" borderId="1" xfId="0" applyFont="1" applyFill="1" applyBorder="1" applyProtection="1">
      <protection locked="0"/>
    </xf>
    <xf numFmtId="10" fontId="0" fillId="0" borderId="0" xfId="3" applyNumberFormat="1" applyFont="1" applyFill="1"/>
    <xf numFmtId="14" fontId="0" fillId="0" borderId="0" xfId="0" applyNumberFormat="1"/>
    <xf numFmtId="0" fontId="10" fillId="0" borderId="1" xfId="2" applyFont="1" applyBorder="1" applyProtection="1">
      <protection locked="0"/>
    </xf>
    <xf numFmtId="167" fontId="0" fillId="0" borderId="0" xfId="3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3" fillId="0" borderId="1" xfId="2" applyNumberFormat="1" applyBorder="1"/>
  </cellXfs>
  <cellStyles count="4">
    <cellStyle name="Hyperlink" xfId="1" builtinId="8"/>
    <cellStyle name="Normal" xfId="0" builtinId="0"/>
    <cellStyle name="Normal 2" xfId="2" xr:uid="{1D837AD4-A8BD-40D6-8997-D691B61A4286}"/>
    <cellStyle name="Percent" xfId="3" builtinId="5"/>
  </cellStyles>
  <dxfs count="9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rgb="FFFF0000"/>
        </patternFill>
      </fill>
    </dxf>
    <dxf>
      <border>
        <bottom style="thin">
          <color theme="0" tint="-4.9989318521683403E-2"/>
        </bottom>
      </border>
    </dxf>
    <dxf>
      <fill>
        <patternFill patternType="none">
          <fgColor indexed="64"/>
          <bgColor auto="1"/>
        </patternFill>
      </fill>
      <border>
        <bottom style="thin">
          <color theme="0" tint="-4.9989318521683403E-2"/>
        </bottom>
      </border>
    </dxf>
    <dxf>
      <font>
        <b/>
        <color theme="0"/>
      </font>
      <fill>
        <patternFill patternType="none">
          <fgColor auto="1"/>
          <bgColor auto="1"/>
        </patternFill>
      </fill>
      <border>
        <top style="thick">
          <color rgb="FF00B0F0"/>
        </top>
      </border>
    </dxf>
    <dxf>
      <font>
        <b/>
        <i val="0"/>
        <strike val="0"/>
        <color theme="3"/>
      </font>
      <fill>
        <patternFill patternType="solid">
          <fgColor theme="0"/>
          <bgColor theme="0"/>
        </patternFill>
      </fill>
      <border>
        <bottom style="thick">
          <color rgb="FF00B0F0"/>
        </bottom>
      </border>
    </dxf>
    <dxf>
      <font>
        <color theme="1"/>
      </font>
      <fill>
        <patternFill patternType="none">
          <fgColor indexed="64"/>
          <bgColor auto="1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TableStyleMedium2" defaultPivotStyle="PivotStyleLight16">
    <tableStyle name="POLARION" pivot="0" count="5" xr9:uid="{26E156E4-3398-4EFA-9A8B-661B8C1C8CA2}">
      <tableStyleElement type="wholeTable" dxfId="8"/>
      <tableStyleElement type="headerRow" dxfId="7"/>
      <tableStyleElement type="totalRow" dxfId="6"/>
      <tableStyleElement type="firstRowStripe" dxfId="5"/>
      <tableStyleElement type="secondRowStripe" dxfId="4"/>
    </tableStyle>
  </tableStyles>
  <colors>
    <mruColors>
      <color rgb="FFFFCCFF"/>
      <color rgb="FFCC99FF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14129"/>
  <ax:ocxPr ax:name="_ExtentY" ax:value="1005"/>
  <ax:ocxPr ax:name="_Version" ax:value="393216"/>
  <ax:ocxPr ax:name="BorderStyle" ax:value="1"/>
  <ax:ocxPr ax:name="Appearance" ax:value="1"/>
  <ax:ocxPr ax:name="Scrolling" ax:value="1"/>
</ax:ocx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Progress - Requirements</a:t>
            </a:r>
          </a:p>
        </c:rich>
      </c:tx>
      <c:layout>
        <c:manualLayout>
          <c:xMode val="edge"/>
          <c:yMode val="edge"/>
          <c:x val="0.2258748538785593"/>
          <c:y val="9.80396959455698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2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FCD1-4B74-9033-CAFEC91D606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FCD1-4B74-9033-CAFEC91D60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FCD1-4B74-9033-CAFEC91D606B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FCD1-4B74-9033-CAFEC91D606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Statistics!$A$14:$A$17</c:f>
              <c:strCache>
                <c:ptCount val="4"/>
                <c:pt idx="0">
                  <c:v>Current Progress OK</c:v>
                </c:pt>
                <c:pt idx="1">
                  <c:v>Current Progress NOK</c:v>
                </c:pt>
                <c:pt idx="2">
                  <c:v>Current Progress Pending</c:v>
                </c:pt>
                <c:pt idx="3">
                  <c:v>Current Progress ongoing</c:v>
                </c:pt>
              </c:strCache>
            </c:strRef>
          </c:cat>
          <c:val>
            <c:numRef>
              <c:f>Statistics!$B$14:$B$17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CD1-4B74-9033-CAFEC91D606B}"/>
            </c:ext>
          </c:extLst>
        </c:ser>
        <c:ser>
          <c:idx val="3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FCD1-4B74-9033-CAFEC91D60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FCD1-4B74-9033-CAFEC91D60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FCD1-4B74-9033-CAFEC91D60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FCD1-4B74-9033-CAFEC91D606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Statistics!$A$14:$A$17</c:f>
              <c:strCache>
                <c:ptCount val="4"/>
                <c:pt idx="0">
                  <c:v>Current Progress OK</c:v>
                </c:pt>
                <c:pt idx="1">
                  <c:v>Current Progress NOK</c:v>
                </c:pt>
                <c:pt idx="2">
                  <c:v>Current Progress Pending</c:v>
                </c:pt>
                <c:pt idx="3">
                  <c:v>Current Progress ongoing</c:v>
                </c:pt>
              </c:strCache>
            </c:strRef>
          </c:cat>
          <c:val>
            <c:numRef>
              <c:f>Statistics!$B$14:$B$17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CD1-4B74-9033-CAFEC91D606B}"/>
            </c:ext>
          </c:extLst>
        </c:ser>
        <c:ser>
          <c:idx val="1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CD1-4B74-9033-CAFEC91D60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FCD1-4B74-9033-CAFEC91D60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FCD1-4B74-9033-CAFEC91D60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FCD1-4B74-9033-CAFEC91D606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Statistics!$A$14:$A$17</c:f>
              <c:strCache>
                <c:ptCount val="4"/>
                <c:pt idx="0">
                  <c:v>Current Progress OK</c:v>
                </c:pt>
                <c:pt idx="1">
                  <c:v>Current Progress NOK</c:v>
                </c:pt>
                <c:pt idx="2">
                  <c:v>Current Progress Pending</c:v>
                </c:pt>
                <c:pt idx="3">
                  <c:v>Current Progress ongoing</c:v>
                </c:pt>
              </c:strCache>
            </c:strRef>
          </c:cat>
          <c:val>
            <c:numRef>
              <c:f>Statistics!$B$14:$B$17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CD1-4B74-9033-CAFEC91D606B}"/>
            </c:ext>
          </c:extLst>
        </c:ser>
        <c:ser>
          <c:idx val="0"/>
          <c:order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FCD1-4B74-9033-CAFEC91D60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FCD1-4B74-9033-CAFEC91D60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FCD1-4B74-9033-CAFEC91D60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FCD1-4B74-9033-CAFEC91D606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Statistics!$A$14:$A$17</c:f>
              <c:strCache>
                <c:ptCount val="4"/>
                <c:pt idx="0">
                  <c:v>Current Progress OK</c:v>
                </c:pt>
                <c:pt idx="1">
                  <c:v>Current Progress NOK</c:v>
                </c:pt>
                <c:pt idx="2">
                  <c:v>Current Progress Pending</c:v>
                </c:pt>
                <c:pt idx="3">
                  <c:v>Current Progress ongoing</c:v>
                </c:pt>
              </c:strCache>
            </c:strRef>
          </c:cat>
          <c:val>
            <c:numRef>
              <c:f>Statistics!$B$14:$B$17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CD1-4B74-9033-CAFEC91D606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420649309351734E-3"/>
          <c:y val="0.857651616396922"/>
          <c:w val="0.97476478768515218"/>
          <c:h val="0.1253812592990751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2"/>
          <c:order val="0"/>
          <c:tx>
            <c:strRef>
              <c:f>Statistics!$A$46</c:f>
              <c:strCache>
                <c:ptCount val="1"/>
                <c:pt idx="0">
                  <c:v>1187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6F-459B-AEC9-ADCA8781917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B6F-459B-AEC9-ADCA8781917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B6F-459B-AEC9-ADCA87819174}"/>
              </c:ext>
            </c:extLst>
          </c:dPt>
          <c:dLbls>
            <c:dLbl>
              <c:idx val="1"/>
              <c:layout>
                <c:manualLayout>
                  <c:x val="-3.5170089032988523E-2"/>
                  <c:y val="-2.610999951458883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6F-459B-AEC9-ADCA87819174}"/>
                </c:ext>
              </c:extLst>
            </c:dLbl>
            <c:numFmt formatCode="0\ &quot;CVs&quot;" sourceLinked="0"/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Statistics!$A$48:$A$50</c:f>
              <c:strCache>
                <c:ptCount val="3"/>
                <c:pt idx="0">
                  <c:v>Total of Approved Tests</c:v>
                </c:pt>
                <c:pt idx="1">
                  <c:v>Total of Reproved Tests</c:v>
                </c:pt>
                <c:pt idx="2">
                  <c:v>Total Test Yet to Check</c:v>
                </c:pt>
              </c:strCache>
            </c:strRef>
          </c:cat>
          <c:val>
            <c:numRef>
              <c:f>Statistics!$B$48:$B$50</c:f>
              <c:numCache>
                <c:formatCode>General</c:formatCode>
                <c:ptCount val="3"/>
                <c:pt idx="0">
                  <c:v>14</c:v>
                </c:pt>
                <c:pt idx="1">
                  <c:v>187</c:v>
                </c:pt>
                <c:pt idx="2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6F-459B-AEC9-ADCA87819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Progress - Test Cases</a:t>
            </a:r>
          </a:p>
        </c:rich>
      </c:tx>
      <c:layout>
        <c:manualLayout>
          <c:xMode val="edge"/>
          <c:yMode val="edge"/>
          <c:x val="0.26524540790650963"/>
          <c:y val="2.11153857972254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2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84E-487F-8A6F-8FB32C6A671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84E-487F-8A6F-8FB32C6A67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84E-487F-8A6F-8FB32C6A671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Statistics!$A$48:$A$50</c:f>
              <c:strCache>
                <c:ptCount val="3"/>
                <c:pt idx="0">
                  <c:v>Total of Approved Tests</c:v>
                </c:pt>
                <c:pt idx="1">
                  <c:v>Total of Reproved Tests</c:v>
                </c:pt>
                <c:pt idx="2">
                  <c:v>Total Test Yet to Check</c:v>
                </c:pt>
              </c:strCache>
            </c:strRef>
          </c:cat>
          <c:val>
            <c:numRef>
              <c:f>Statistics!$C$48:$C$50</c:f>
              <c:numCache>
                <c:formatCode>0.0%</c:formatCode>
                <c:ptCount val="3"/>
                <c:pt idx="0">
                  <c:v>1.4492753623188406E-2</c:v>
                </c:pt>
                <c:pt idx="1">
                  <c:v>0.19358178053830227</c:v>
                </c:pt>
                <c:pt idx="2">
                  <c:v>0.19047619047619047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4E-487F-8A6F-8FB32C6A671F}"/>
            </c:ext>
          </c:extLst>
        </c:ser>
        <c:ser>
          <c:idx val="3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E84E-487F-8A6F-8FB32C6A67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E84E-487F-8A6F-8FB32C6A67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E84E-487F-8A6F-8FB32C6A671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E84E-487F-8A6F-8FB32C6A671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Statistics!$A$48:$A$50</c:f>
              <c:strCache>
                <c:ptCount val="3"/>
                <c:pt idx="0">
                  <c:v>Total of Approved Tests</c:v>
                </c:pt>
                <c:pt idx="1">
                  <c:v>Total of Reproved Tests</c:v>
                </c:pt>
                <c:pt idx="2">
                  <c:v>Total Test Yet to Check</c:v>
                </c:pt>
              </c:strCache>
            </c:strRef>
          </c:cat>
          <c:val>
            <c:numLit>
              <c:formatCode>General</c:formatCode>
              <c:ptCount val="4"/>
              <c:pt idx="0">
                <c:v>0.28125</c:v>
              </c:pt>
              <c:pt idx="1">
                <c:v>0.29166666666666669</c:v>
              </c:pt>
              <c:pt idx="2">
                <c:v>0.38541666666666669</c:v>
              </c:pt>
              <c:pt idx="3">
                <c:v>4.1666666666666664E-2</c:v>
              </c:pt>
            </c:numLit>
          </c:val>
          <c:extLst>
            <c:ext xmlns:c16="http://schemas.microsoft.com/office/drawing/2014/chart" uri="{C3380CC4-5D6E-409C-BE32-E72D297353CC}">
              <c16:uniqueId val="{0000000F-E84E-487F-8A6F-8FB32C6A671F}"/>
            </c:ext>
          </c:extLst>
        </c:ser>
        <c:ser>
          <c:idx val="1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84E-487F-8A6F-8FB32C6A67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84E-487F-8A6F-8FB32C6A67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84E-487F-8A6F-8FB32C6A671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84E-487F-8A6F-8FB32C6A671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Statistics!$A$48:$A$50</c:f>
              <c:strCache>
                <c:ptCount val="3"/>
                <c:pt idx="0">
                  <c:v>Total of Approved Tests</c:v>
                </c:pt>
                <c:pt idx="1">
                  <c:v>Total of Reproved Tests</c:v>
                </c:pt>
                <c:pt idx="2">
                  <c:v>Total Test Yet to Check</c:v>
                </c:pt>
              </c:strCache>
            </c:strRef>
          </c:cat>
          <c:val>
            <c:numLit>
              <c:formatCode>General</c:formatCode>
              <c:ptCount val="4"/>
              <c:pt idx="0">
                <c:v>0.28125</c:v>
              </c:pt>
              <c:pt idx="1">
                <c:v>0.29166666666666669</c:v>
              </c:pt>
              <c:pt idx="2">
                <c:v>0.38541666666666669</c:v>
              </c:pt>
              <c:pt idx="3">
                <c:v>4.1666666666666664E-2</c:v>
              </c:pt>
            </c:numLit>
          </c:val>
          <c:extLst>
            <c:ext xmlns:c16="http://schemas.microsoft.com/office/drawing/2014/chart" uri="{C3380CC4-5D6E-409C-BE32-E72D297353CC}">
              <c16:uniqueId val="{00000018-E84E-487F-8A6F-8FB32C6A671F}"/>
            </c:ext>
          </c:extLst>
        </c:ser>
        <c:ser>
          <c:idx val="0"/>
          <c:order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E84E-487F-8A6F-8FB32C6A67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E84E-487F-8A6F-8FB32C6A67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E84E-487F-8A6F-8FB32C6A671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E84E-487F-8A6F-8FB32C6A671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Statistics!$A$48:$A$50</c:f>
              <c:strCache>
                <c:ptCount val="3"/>
                <c:pt idx="0">
                  <c:v>Total of Approved Tests</c:v>
                </c:pt>
                <c:pt idx="1">
                  <c:v>Total of Reproved Tests</c:v>
                </c:pt>
                <c:pt idx="2">
                  <c:v>Total Test Yet to Check</c:v>
                </c:pt>
              </c:strCache>
            </c:strRef>
          </c:cat>
          <c:val>
            <c:numLit>
              <c:formatCode>General</c:formatCode>
              <c:ptCount val="4"/>
              <c:pt idx="0">
                <c:v>0.28125</c:v>
              </c:pt>
              <c:pt idx="1">
                <c:v>0.29166666666666669</c:v>
              </c:pt>
              <c:pt idx="2">
                <c:v>0.38541666666666669</c:v>
              </c:pt>
              <c:pt idx="3">
                <c:v>4.1666666666666664E-2</c:v>
              </c:pt>
            </c:numLit>
          </c:val>
          <c:extLst>
            <c:ext xmlns:c16="http://schemas.microsoft.com/office/drawing/2014/chart" uri="{C3380CC4-5D6E-409C-BE32-E72D297353CC}">
              <c16:uniqueId val="{00000021-E84E-487F-8A6F-8FB32C6A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Statistics!$A$1</c:f>
              <c:strCache>
                <c:ptCount val="1"/>
                <c:pt idx="0">
                  <c:v>Total Amount of Default_Spreadsheet Requirements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3530-45A6-A64E-64EA4421F7B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3530-45A6-A64E-64EA4421F7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379-493E-8B5C-D0051486B0CD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3530-45A6-A64E-64EA4421F7B3}"/>
              </c:ext>
            </c:extLst>
          </c:dPt>
          <c:dLbls>
            <c:numFmt formatCode="0\ &quot;CVs&quot;" sourceLinked="0"/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Statistics!$A$3:$A$6</c:f>
              <c:strCache>
                <c:ptCount val="4"/>
                <c:pt idx="0">
                  <c:v>Requirement COMPLETED</c:v>
                </c:pt>
                <c:pt idx="1">
                  <c:v>Requirement with FAILED tests</c:v>
                </c:pt>
                <c:pt idx="2">
                  <c:v>Requirement Pending</c:v>
                </c:pt>
                <c:pt idx="3">
                  <c:v>Requirement ongoing</c:v>
                </c:pt>
              </c:strCache>
            </c:strRef>
          </c:cat>
          <c:val>
            <c:numRef>
              <c:f>Statistics!$B$3:$B$6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530-45A6-A64E-64EA4421F7B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1745434664806826E-2"/>
          <c:y val="0.87131260078405037"/>
          <c:w val="0.88854668620373112"/>
          <c:h val="0.11172027491194686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1162050</xdr:colOff>
          <xdr:row>4</xdr:row>
          <xdr:rowOff>0</xdr:rowOff>
        </xdr:from>
        <xdr:to>
          <xdr:col>5</xdr:col>
          <xdr:colOff>1692275</xdr:colOff>
          <xdr:row>9</xdr:row>
          <xdr:rowOff>114300</xdr:rowOff>
        </xdr:to>
        <xdr:sp macro="" textlink="">
          <xdr:nvSpPr>
            <xdr:cNvPr id="3073" name="ProgressBar_Label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6</xdr:row>
          <xdr:rowOff>127000</xdr:rowOff>
        </xdr:from>
        <xdr:to>
          <xdr:col>5</xdr:col>
          <xdr:colOff>1577975</xdr:colOff>
          <xdr:row>8</xdr:row>
          <xdr:rowOff>127000</xdr:rowOff>
        </xdr:to>
        <xdr:sp macro="" textlink="">
          <xdr:nvSpPr>
            <xdr:cNvPr id="3074" name="ProgressBarLoa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1657350</xdr:colOff>
          <xdr:row>5</xdr:row>
          <xdr:rowOff>63500</xdr:rowOff>
        </xdr:from>
        <xdr:to>
          <xdr:col>4</xdr:col>
          <xdr:colOff>990600</xdr:colOff>
          <xdr:row>6</xdr:row>
          <xdr:rowOff>101600</xdr:rowOff>
        </xdr:to>
        <xdr:sp macro="" textlink="">
          <xdr:nvSpPr>
            <xdr:cNvPr id="3075" name="ProgressBar_percentag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1</xdr:row>
      <xdr:rowOff>680</xdr:rowOff>
    </xdr:from>
    <xdr:to>
      <xdr:col>29</xdr:col>
      <xdr:colOff>307521</xdr:colOff>
      <xdr:row>24</xdr:row>
      <xdr:rowOff>110218</xdr:rowOff>
    </xdr:to>
    <xdr:graphicFrame macro="">
      <xdr:nvGraphicFramePr>
        <xdr:cNvPr id="26" name="Chart 2">
          <a:extLst>
            <a:ext uri="{FF2B5EF4-FFF2-40B4-BE49-F238E27FC236}">
              <a16:creationId xmlns:a16="http://schemas.microsoft.com/office/drawing/2014/main" id="{64826AD4-EB2F-16F4-FF57-8E75247820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416379</xdr:colOff>
      <xdr:row>25</xdr:row>
      <xdr:rowOff>181655</xdr:rowOff>
    </xdr:from>
    <xdr:to>
      <xdr:col>17</xdr:col>
      <xdr:colOff>504825</xdr:colOff>
      <xdr:row>49</xdr:row>
      <xdr:rowOff>100693</xdr:rowOff>
    </xdr:to>
    <xdr:graphicFrame macro="">
      <xdr:nvGraphicFramePr>
        <xdr:cNvPr id="19" name="Chart 2">
          <a:extLst>
            <a:ext uri="{FF2B5EF4-FFF2-40B4-BE49-F238E27FC236}">
              <a16:creationId xmlns:a16="http://schemas.microsoft.com/office/drawing/2014/main" id="{6B016088-854C-4FA5-9EDC-3771FDBDF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231323</xdr:colOff>
      <xdr:row>26</xdr:row>
      <xdr:rowOff>54428</xdr:rowOff>
    </xdr:from>
    <xdr:to>
      <xdr:col>29</xdr:col>
      <xdr:colOff>269876</xdr:colOff>
      <xdr:row>49</xdr:row>
      <xdr:rowOff>163966</xdr:rowOff>
    </xdr:to>
    <xdr:graphicFrame macro="">
      <xdr:nvGraphicFramePr>
        <xdr:cNvPr id="15" name="Chart 2">
          <a:extLst>
            <a:ext uri="{FF2B5EF4-FFF2-40B4-BE49-F238E27FC236}">
              <a16:creationId xmlns:a16="http://schemas.microsoft.com/office/drawing/2014/main" id="{C8EA940F-B34D-4C0A-9BF8-C7E63FA03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476251</xdr:colOff>
      <xdr:row>1</xdr:row>
      <xdr:rowOff>13608</xdr:rowOff>
    </xdr:from>
    <xdr:to>
      <xdr:col>17</xdr:col>
      <xdr:colOff>574222</xdr:colOff>
      <xdr:row>24</xdr:row>
      <xdr:rowOff>123146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26AB19-F127-461B-8B47-DE00923B2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5F3D7-5499-4539-A56E-4B939213241F}">
  <sheetPr codeName="Sample"/>
  <dimension ref="A1:N192"/>
  <sheetViews>
    <sheetView workbookViewId="0">
      <selection activeCell="F24" sqref="F24"/>
    </sheetView>
  </sheetViews>
  <sheetFormatPr defaultRowHeight="15" x14ac:dyDescent="0.25"/>
  <cols>
    <col min="1" max="1" width="11.85546875" style="12" bestFit="1" customWidth="1"/>
    <col min="2" max="2" width="19.7109375" style="13" customWidth="1"/>
    <col min="4" max="5" width="11.7109375" bestFit="1" customWidth="1"/>
    <col min="6" max="6" width="11.7109375" customWidth="1"/>
    <col min="7" max="7" width="84.85546875" style="12" customWidth="1"/>
  </cols>
  <sheetData>
    <row r="1" spans="1:14" x14ac:dyDescent="0.25">
      <c r="A1" s="18" t="s">
        <v>0</v>
      </c>
      <c r="B1" s="18" t="s">
        <v>1</v>
      </c>
      <c r="C1" s="18" t="s">
        <v>2</v>
      </c>
      <c r="D1" s="19" t="s">
        <v>3</v>
      </c>
      <c r="E1" s="18" t="s">
        <v>4</v>
      </c>
      <c r="F1" s="18" t="s">
        <v>5</v>
      </c>
      <c r="G1" s="18" t="s">
        <v>6</v>
      </c>
    </row>
    <row r="2" spans="1:14" x14ac:dyDescent="0.25">
      <c r="A2" s="20" t="str" cm="1">
        <f t="array" aca="1" ref="A2" ca="1">HYPERLINK(_xlfn.CONCAT("https://polarion.uasc.com/polarion/redirect/project/ClearVision/workitem/question_mark/id=",_xlfn.TEXTAFTER(CELL("filename",A1),"]")),_xlfn.TEXTAFTER(CELL("filename",A1),"]"))</f>
        <v>Sample</v>
      </c>
      <c r="B2" s="16"/>
      <c r="C2" t="str" cm="1">
        <f t="array" aca="1" ref="C2" ca="1">IF(B2&lt;&gt;"",_xlfn.IFNA(INDEX(INDIRECT(_xlfn.CONCAT("TestCases!B$2:B$",COUNTIF(INDIRECT("TestCases!A:A"),"&lt;&gt;"))),_xlfn.XMATCH(B2,INDIRECT(_xlfn.CONCAT("TestCases!A$2:A$",COUNTIF(INDIRECT("TestCases!A:A"),"&lt;&gt;"))),0)),"TEST_NOT_FOUND"),"")</f>
        <v/>
      </c>
      <c r="D2" t="str" cm="1">
        <f t="array" aca="1" ref="D2" ca="1">IF(B2&lt;&gt;"",_xlfn.IFNA(INDEX(INDIRECT(_xlfn.CONCAT("TestCases!C$2:C$",COUNTIF(INDIRECT("TestCases!A:A"),"&lt;&gt;"))),_xlfn.XMATCH(B2,INDIRECT(_xlfn.CONCAT("TestCases!A$2:A$",COUNTIF(INDIRECT("TestCases!A:A"),"&lt;&gt;"))),0)),""),"")</f>
        <v/>
      </c>
      <c r="E2" t="str" cm="1">
        <f t="array" aca="1" ref="E2" ca="1">IF(B2&lt;&gt;"",_xlfn.IFNA(INDEX(INDIRECT(_xlfn.CONCAT("TestCases!D$2:D$",COUNTIF(INDIRECT("TestCases!A:A"),"&lt;&gt;"))),_xlfn.XMATCH(B2,INDIRECT(_xlfn.CONCAT("TestCases!A$2:A$",COUNTIF(INDIRECT("TestCases!A:A"),"&lt;&gt;"))),0)),""),"")</f>
        <v/>
      </c>
      <c r="F2" s="54" t="str" cm="1">
        <f t="array" aca="1" ref="F2" ca="1">IF($B2&lt;&gt;"",_xlfn.IFNA(IF(0=INDEX(INDIRECT(_xlfn.CONCAT("TestCases!E$2:E$",COUNTIF(INDIRECT("TestCases!A:A"),"&lt;&gt;"))),_xlfn.XMATCH($B2,INDIRECT(_xlfn.CONCAT("TestCases!A$2:A$",COUNTIF(INDIRECT("TestCases!A:A"),"&lt;&gt;"))),0)),"",INDEX(INDIRECT(_xlfn.CONCAT("TestCases!E$2:E$",COUNTIF(INDIRECT("TestCases!A:A"),"&lt;&gt;"))),_xlfn.XMATCH($B2,INDIRECT(_xlfn.CONCAT("TestCases!A$2:A$",COUNTIF(INDIRECT("TestCases!A:A"),"&lt;&gt;"))),0))),""),"")</f>
        <v/>
      </c>
    </row>
    <row r="3" spans="1:14" x14ac:dyDescent="0.25">
      <c r="A3" s="17"/>
      <c r="B3" s="16"/>
      <c r="N3" s="2"/>
    </row>
    <row r="4" spans="1:14" x14ac:dyDescent="0.25">
      <c r="A4" s="17"/>
    </row>
    <row r="5" spans="1:14" x14ac:dyDescent="0.25">
      <c r="A5" s="17"/>
    </row>
    <row r="6" spans="1:14" x14ac:dyDescent="0.25">
      <c r="A6" s="17"/>
    </row>
    <row r="7" spans="1:14" x14ac:dyDescent="0.25">
      <c r="A7" s="17"/>
    </row>
    <row r="8" spans="1:14" x14ac:dyDescent="0.25">
      <c r="A8" s="17"/>
    </row>
    <row r="9" spans="1:14" x14ac:dyDescent="0.25">
      <c r="A9" s="17"/>
    </row>
    <row r="10" spans="1:14" x14ac:dyDescent="0.25">
      <c r="A10" s="17"/>
    </row>
    <row r="11" spans="1:14" x14ac:dyDescent="0.25">
      <c r="A11" s="17"/>
    </row>
    <row r="12" spans="1:14" x14ac:dyDescent="0.25">
      <c r="A12" s="17"/>
    </row>
    <row r="13" spans="1:14" x14ac:dyDescent="0.25">
      <c r="A13" s="17"/>
    </row>
    <row r="14" spans="1:14" x14ac:dyDescent="0.25">
      <c r="A14" s="17"/>
    </row>
    <row r="15" spans="1:14" x14ac:dyDescent="0.25">
      <c r="A15" s="17"/>
    </row>
    <row r="16" spans="1:14" x14ac:dyDescent="0.25">
      <c r="A16" s="17"/>
    </row>
    <row r="17" spans="1:1" x14ac:dyDescent="0.25">
      <c r="A17" s="17"/>
    </row>
    <row r="18" spans="1:1" x14ac:dyDescent="0.25">
      <c r="A18" s="13"/>
    </row>
    <row r="19" spans="1:1" x14ac:dyDescent="0.25">
      <c r="A19" s="13"/>
    </row>
    <row r="20" spans="1:1" x14ac:dyDescent="0.25">
      <c r="A20" s="13"/>
    </row>
    <row r="21" spans="1:1" x14ac:dyDescent="0.25">
      <c r="A21" s="13"/>
    </row>
    <row r="22" spans="1:1" x14ac:dyDescent="0.25">
      <c r="A22" s="13"/>
    </row>
    <row r="23" spans="1:1" x14ac:dyDescent="0.25">
      <c r="A23" s="13"/>
    </row>
    <row r="24" spans="1:1" x14ac:dyDescent="0.25">
      <c r="A24" s="13"/>
    </row>
    <row r="25" spans="1:1" x14ac:dyDescent="0.25">
      <c r="A25" s="13"/>
    </row>
    <row r="26" spans="1:1" x14ac:dyDescent="0.25">
      <c r="A26" s="13"/>
    </row>
    <row r="27" spans="1:1" x14ac:dyDescent="0.25">
      <c r="A27" s="13"/>
    </row>
    <row r="28" spans="1:1" x14ac:dyDescent="0.25">
      <c r="A28" s="13"/>
    </row>
    <row r="29" spans="1:1" x14ac:dyDescent="0.25">
      <c r="A29" s="13"/>
    </row>
    <row r="30" spans="1:1" x14ac:dyDescent="0.25">
      <c r="A30" s="13"/>
    </row>
    <row r="31" spans="1:1" x14ac:dyDescent="0.25">
      <c r="A31" s="13"/>
    </row>
    <row r="32" spans="1:1" x14ac:dyDescent="0.25">
      <c r="A32" s="13"/>
    </row>
    <row r="33" spans="1:1" x14ac:dyDescent="0.25">
      <c r="A33" s="13"/>
    </row>
    <row r="34" spans="1:1" x14ac:dyDescent="0.25">
      <c r="A34" s="13"/>
    </row>
    <row r="35" spans="1:1" x14ac:dyDescent="0.25">
      <c r="A35" s="13"/>
    </row>
    <row r="36" spans="1:1" x14ac:dyDescent="0.25">
      <c r="A36" s="13"/>
    </row>
    <row r="37" spans="1:1" x14ac:dyDescent="0.25">
      <c r="A37" s="13"/>
    </row>
    <row r="38" spans="1:1" x14ac:dyDescent="0.25">
      <c r="A38" s="13"/>
    </row>
    <row r="39" spans="1:1" x14ac:dyDescent="0.25">
      <c r="A39" s="13"/>
    </row>
    <row r="40" spans="1:1" x14ac:dyDescent="0.25">
      <c r="A40" s="13"/>
    </row>
    <row r="41" spans="1:1" x14ac:dyDescent="0.25">
      <c r="A41" s="13"/>
    </row>
    <row r="42" spans="1:1" x14ac:dyDescent="0.25">
      <c r="A42" s="13"/>
    </row>
    <row r="43" spans="1:1" x14ac:dyDescent="0.25">
      <c r="A43" s="13"/>
    </row>
    <row r="44" spans="1:1" x14ac:dyDescent="0.25">
      <c r="A44" s="13"/>
    </row>
    <row r="45" spans="1:1" x14ac:dyDescent="0.25">
      <c r="A45" s="13"/>
    </row>
    <row r="46" spans="1:1" x14ac:dyDescent="0.25">
      <c r="A46" s="13"/>
    </row>
    <row r="47" spans="1:1" x14ac:dyDescent="0.25">
      <c r="A47" s="13"/>
    </row>
    <row r="48" spans="1:1" x14ac:dyDescent="0.25">
      <c r="A48" s="13"/>
    </row>
    <row r="49" spans="1:1" x14ac:dyDescent="0.25">
      <c r="A49" s="13"/>
    </row>
    <row r="50" spans="1:1" x14ac:dyDescent="0.25">
      <c r="A50" s="13"/>
    </row>
    <row r="51" spans="1:1" x14ac:dyDescent="0.25">
      <c r="A51" s="13"/>
    </row>
    <row r="52" spans="1:1" x14ac:dyDescent="0.25">
      <c r="A52" s="13"/>
    </row>
    <row r="53" spans="1:1" x14ac:dyDescent="0.25">
      <c r="A53" s="13"/>
    </row>
    <row r="54" spans="1:1" x14ac:dyDescent="0.25">
      <c r="A54" s="13"/>
    </row>
    <row r="55" spans="1:1" x14ac:dyDescent="0.25">
      <c r="A55" s="13"/>
    </row>
    <row r="56" spans="1:1" x14ac:dyDescent="0.25">
      <c r="A56" s="13"/>
    </row>
    <row r="57" spans="1:1" x14ac:dyDescent="0.25">
      <c r="A57" s="13"/>
    </row>
    <row r="58" spans="1:1" x14ac:dyDescent="0.25">
      <c r="A58" s="13"/>
    </row>
    <row r="59" spans="1:1" x14ac:dyDescent="0.25">
      <c r="A59" s="13"/>
    </row>
    <row r="60" spans="1:1" x14ac:dyDescent="0.25">
      <c r="A60" s="13"/>
    </row>
    <row r="61" spans="1:1" x14ac:dyDescent="0.25">
      <c r="A61" s="13"/>
    </row>
    <row r="62" spans="1:1" x14ac:dyDescent="0.25">
      <c r="A62" s="13"/>
    </row>
    <row r="63" spans="1:1" x14ac:dyDescent="0.25">
      <c r="A63" s="13"/>
    </row>
    <row r="64" spans="1:1" x14ac:dyDescent="0.25">
      <c r="A64" s="13"/>
    </row>
    <row r="65" spans="1:1" x14ac:dyDescent="0.25">
      <c r="A65" s="13"/>
    </row>
    <row r="66" spans="1:1" x14ac:dyDescent="0.25">
      <c r="A66" s="13"/>
    </row>
    <row r="67" spans="1:1" x14ac:dyDescent="0.25">
      <c r="A67" s="13"/>
    </row>
    <row r="68" spans="1:1" x14ac:dyDescent="0.25">
      <c r="A68" s="13"/>
    </row>
    <row r="69" spans="1:1" x14ac:dyDescent="0.25">
      <c r="A69" s="13"/>
    </row>
    <row r="70" spans="1:1" x14ac:dyDescent="0.25">
      <c r="A70" s="13"/>
    </row>
    <row r="71" spans="1:1" x14ac:dyDescent="0.25">
      <c r="A71" s="13"/>
    </row>
    <row r="72" spans="1:1" x14ac:dyDescent="0.25">
      <c r="A72" s="13"/>
    </row>
    <row r="73" spans="1:1" x14ac:dyDescent="0.25">
      <c r="A73" s="13"/>
    </row>
    <row r="74" spans="1:1" x14ac:dyDescent="0.25">
      <c r="A74" s="13"/>
    </row>
    <row r="75" spans="1:1" x14ac:dyDescent="0.25">
      <c r="A75" s="13"/>
    </row>
    <row r="76" spans="1:1" x14ac:dyDescent="0.25">
      <c r="A76" s="13"/>
    </row>
    <row r="77" spans="1:1" x14ac:dyDescent="0.25">
      <c r="A77" s="13"/>
    </row>
    <row r="78" spans="1:1" x14ac:dyDescent="0.25">
      <c r="A78" s="13"/>
    </row>
    <row r="79" spans="1:1" x14ac:dyDescent="0.25">
      <c r="A79" s="13"/>
    </row>
    <row r="80" spans="1:1" x14ac:dyDescent="0.25">
      <c r="A80" s="13"/>
    </row>
    <row r="81" spans="1:1" x14ac:dyDescent="0.25">
      <c r="A81" s="13"/>
    </row>
    <row r="82" spans="1:1" x14ac:dyDescent="0.25">
      <c r="A82" s="13"/>
    </row>
    <row r="83" spans="1:1" x14ac:dyDescent="0.25">
      <c r="A83" s="13"/>
    </row>
    <row r="84" spans="1:1" x14ac:dyDescent="0.25">
      <c r="A84" s="13"/>
    </row>
    <row r="85" spans="1:1" x14ac:dyDescent="0.25">
      <c r="A85" s="13"/>
    </row>
    <row r="86" spans="1:1" x14ac:dyDescent="0.25">
      <c r="A86" s="13"/>
    </row>
    <row r="87" spans="1:1" x14ac:dyDescent="0.25">
      <c r="A87" s="13"/>
    </row>
    <row r="88" spans="1:1" x14ac:dyDescent="0.25">
      <c r="A88" s="13"/>
    </row>
    <row r="89" spans="1:1" x14ac:dyDescent="0.25">
      <c r="A89" s="13"/>
    </row>
    <row r="90" spans="1:1" x14ac:dyDescent="0.25">
      <c r="A90" s="13"/>
    </row>
    <row r="91" spans="1:1" x14ac:dyDescent="0.25">
      <c r="A91" s="13"/>
    </row>
    <row r="92" spans="1:1" x14ac:dyDescent="0.25">
      <c r="A92" s="13"/>
    </row>
    <row r="93" spans="1:1" x14ac:dyDescent="0.25">
      <c r="A93" s="13"/>
    </row>
    <row r="94" spans="1:1" x14ac:dyDescent="0.25">
      <c r="A94" s="13"/>
    </row>
    <row r="95" spans="1:1" x14ac:dyDescent="0.25">
      <c r="A95" s="13"/>
    </row>
    <row r="96" spans="1:1" x14ac:dyDescent="0.25">
      <c r="A96" s="13"/>
    </row>
    <row r="97" spans="1:1" x14ac:dyDescent="0.25">
      <c r="A97" s="13"/>
    </row>
    <row r="98" spans="1:1" x14ac:dyDescent="0.25">
      <c r="A98" s="13"/>
    </row>
    <row r="99" spans="1:1" x14ac:dyDescent="0.25">
      <c r="A99" s="13"/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3"/>
    </row>
    <row r="104" spans="1:1" x14ac:dyDescent="0.25">
      <c r="A104" s="13"/>
    </row>
    <row r="105" spans="1:1" x14ac:dyDescent="0.25">
      <c r="A105" s="13"/>
    </row>
    <row r="106" spans="1:1" x14ac:dyDescent="0.25">
      <c r="A106" s="13"/>
    </row>
    <row r="107" spans="1:1" x14ac:dyDescent="0.25">
      <c r="A107" s="13"/>
    </row>
    <row r="108" spans="1:1" x14ac:dyDescent="0.25">
      <c r="A108" s="13"/>
    </row>
    <row r="109" spans="1:1" x14ac:dyDescent="0.25">
      <c r="A109" s="13"/>
    </row>
    <row r="110" spans="1:1" x14ac:dyDescent="0.25">
      <c r="A110" s="13"/>
    </row>
    <row r="111" spans="1:1" x14ac:dyDescent="0.25">
      <c r="A111" s="13"/>
    </row>
    <row r="112" spans="1:1" x14ac:dyDescent="0.25">
      <c r="A112" s="13"/>
    </row>
    <row r="113" spans="1:1" x14ac:dyDescent="0.25">
      <c r="A113" s="13"/>
    </row>
    <row r="114" spans="1:1" x14ac:dyDescent="0.25">
      <c r="A114" s="13"/>
    </row>
    <row r="115" spans="1:1" x14ac:dyDescent="0.25">
      <c r="A115" s="13"/>
    </row>
    <row r="116" spans="1:1" x14ac:dyDescent="0.25">
      <c r="A116" s="13"/>
    </row>
    <row r="117" spans="1:1" x14ac:dyDescent="0.25">
      <c r="A117" s="13"/>
    </row>
    <row r="118" spans="1:1" x14ac:dyDescent="0.25">
      <c r="A118" s="13"/>
    </row>
    <row r="119" spans="1:1" x14ac:dyDescent="0.25">
      <c r="A119" s="13"/>
    </row>
    <row r="120" spans="1:1" x14ac:dyDescent="0.25">
      <c r="A120" s="13"/>
    </row>
    <row r="121" spans="1:1" x14ac:dyDescent="0.25">
      <c r="A121" s="13"/>
    </row>
    <row r="122" spans="1:1" x14ac:dyDescent="0.25">
      <c r="A122" s="13"/>
    </row>
    <row r="123" spans="1:1" x14ac:dyDescent="0.25">
      <c r="A123" s="13"/>
    </row>
    <row r="124" spans="1:1" x14ac:dyDescent="0.25">
      <c r="A124" s="13"/>
    </row>
    <row r="125" spans="1:1" x14ac:dyDescent="0.25">
      <c r="A125" s="13"/>
    </row>
    <row r="126" spans="1:1" x14ac:dyDescent="0.25">
      <c r="A126" s="13"/>
    </row>
    <row r="127" spans="1:1" x14ac:dyDescent="0.25">
      <c r="A127" s="13"/>
    </row>
    <row r="128" spans="1:1" x14ac:dyDescent="0.25">
      <c r="A128" s="13"/>
    </row>
    <row r="129" spans="1:1" x14ac:dyDescent="0.25">
      <c r="A129" s="13"/>
    </row>
    <row r="130" spans="1:1" x14ac:dyDescent="0.25">
      <c r="A130" s="13"/>
    </row>
    <row r="131" spans="1:1" x14ac:dyDescent="0.25">
      <c r="A131" s="13"/>
    </row>
    <row r="132" spans="1:1" x14ac:dyDescent="0.25">
      <c r="A132" s="13"/>
    </row>
    <row r="133" spans="1:1" x14ac:dyDescent="0.25">
      <c r="A133" s="13"/>
    </row>
    <row r="134" spans="1:1" x14ac:dyDescent="0.25">
      <c r="A134" s="13"/>
    </row>
    <row r="135" spans="1:1" x14ac:dyDescent="0.25">
      <c r="A135" s="13"/>
    </row>
    <row r="136" spans="1:1" x14ac:dyDescent="0.25">
      <c r="A136" s="13"/>
    </row>
    <row r="137" spans="1:1" x14ac:dyDescent="0.25">
      <c r="A137" s="13"/>
    </row>
    <row r="138" spans="1:1" x14ac:dyDescent="0.25">
      <c r="A138" s="13"/>
    </row>
    <row r="139" spans="1:1" x14ac:dyDescent="0.25">
      <c r="A139" s="13"/>
    </row>
    <row r="140" spans="1:1" x14ac:dyDescent="0.25">
      <c r="A140" s="13"/>
    </row>
    <row r="141" spans="1:1" x14ac:dyDescent="0.25">
      <c r="A141" s="13"/>
    </row>
    <row r="142" spans="1:1" x14ac:dyDescent="0.25">
      <c r="A142" s="13"/>
    </row>
    <row r="143" spans="1:1" x14ac:dyDescent="0.25">
      <c r="A143" s="13"/>
    </row>
    <row r="144" spans="1:1" x14ac:dyDescent="0.25">
      <c r="A144" s="13"/>
    </row>
    <row r="145" spans="1:1" x14ac:dyDescent="0.25">
      <c r="A145" s="13"/>
    </row>
    <row r="146" spans="1:1" x14ac:dyDescent="0.25">
      <c r="A146" s="13"/>
    </row>
    <row r="147" spans="1:1" x14ac:dyDescent="0.25">
      <c r="A147" s="13"/>
    </row>
    <row r="148" spans="1:1" x14ac:dyDescent="0.25">
      <c r="A148" s="13"/>
    </row>
    <row r="149" spans="1:1" x14ac:dyDescent="0.25">
      <c r="A149" s="13"/>
    </row>
    <row r="150" spans="1:1" x14ac:dyDescent="0.25">
      <c r="A150" s="13"/>
    </row>
    <row r="151" spans="1:1" x14ac:dyDescent="0.25">
      <c r="A151" s="13"/>
    </row>
    <row r="152" spans="1:1" x14ac:dyDescent="0.25">
      <c r="A152" s="13"/>
    </row>
    <row r="153" spans="1:1" x14ac:dyDescent="0.25">
      <c r="A153" s="13"/>
    </row>
    <row r="154" spans="1:1" x14ac:dyDescent="0.25">
      <c r="A154" s="13"/>
    </row>
    <row r="155" spans="1:1" x14ac:dyDescent="0.25">
      <c r="A155" s="13"/>
    </row>
    <row r="156" spans="1:1" x14ac:dyDescent="0.25">
      <c r="A156" s="13"/>
    </row>
    <row r="157" spans="1:1" x14ac:dyDescent="0.25">
      <c r="A157" s="13"/>
    </row>
    <row r="158" spans="1:1" x14ac:dyDescent="0.25">
      <c r="A158" s="13"/>
    </row>
    <row r="159" spans="1:1" x14ac:dyDescent="0.25">
      <c r="A159" s="13"/>
    </row>
    <row r="160" spans="1:1" x14ac:dyDescent="0.25">
      <c r="A160" s="13"/>
    </row>
    <row r="161" spans="1:1" x14ac:dyDescent="0.25">
      <c r="A161" s="13"/>
    </row>
    <row r="162" spans="1:1" x14ac:dyDescent="0.25">
      <c r="A162" s="13"/>
    </row>
    <row r="163" spans="1:1" x14ac:dyDescent="0.25">
      <c r="A163" s="13"/>
    </row>
    <row r="164" spans="1:1" x14ac:dyDescent="0.25">
      <c r="A164" s="13"/>
    </row>
    <row r="165" spans="1:1" x14ac:dyDescent="0.25">
      <c r="A165" s="13"/>
    </row>
    <row r="166" spans="1:1" x14ac:dyDescent="0.25">
      <c r="A166" s="13"/>
    </row>
    <row r="167" spans="1:1" x14ac:dyDescent="0.25">
      <c r="A167" s="13"/>
    </row>
    <row r="168" spans="1:1" x14ac:dyDescent="0.25">
      <c r="A168" s="13"/>
    </row>
    <row r="169" spans="1:1" x14ac:dyDescent="0.25">
      <c r="A169" s="13"/>
    </row>
    <row r="170" spans="1:1" x14ac:dyDescent="0.25">
      <c r="A170" s="13"/>
    </row>
    <row r="171" spans="1:1" x14ac:dyDescent="0.25">
      <c r="A171" s="13"/>
    </row>
    <row r="172" spans="1:1" x14ac:dyDescent="0.25">
      <c r="A172" s="13"/>
    </row>
    <row r="173" spans="1:1" x14ac:dyDescent="0.25">
      <c r="A173" s="13"/>
    </row>
    <row r="174" spans="1:1" x14ac:dyDescent="0.25">
      <c r="A174" s="13"/>
    </row>
    <row r="175" spans="1:1" x14ac:dyDescent="0.25">
      <c r="A175" s="13"/>
    </row>
    <row r="176" spans="1:1" x14ac:dyDescent="0.25">
      <c r="A176" s="13"/>
    </row>
    <row r="177" spans="1:1" x14ac:dyDescent="0.25">
      <c r="A177" s="13"/>
    </row>
    <row r="178" spans="1:1" x14ac:dyDescent="0.25">
      <c r="A178" s="13"/>
    </row>
    <row r="179" spans="1:1" x14ac:dyDescent="0.25">
      <c r="A179" s="13"/>
    </row>
    <row r="180" spans="1:1" x14ac:dyDescent="0.25">
      <c r="A180" s="13"/>
    </row>
    <row r="181" spans="1:1" x14ac:dyDescent="0.25">
      <c r="A181" s="13"/>
    </row>
    <row r="182" spans="1:1" x14ac:dyDescent="0.25">
      <c r="A182" s="13"/>
    </row>
    <row r="183" spans="1:1" x14ac:dyDescent="0.25">
      <c r="A183" s="13"/>
    </row>
    <row r="184" spans="1:1" x14ac:dyDescent="0.25">
      <c r="A184" s="13"/>
    </row>
    <row r="185" spans="1:1" x14ac:dyDescent="0.25">
      <c r="A185" s="13"/>
    </row>
    <row r="186" spans="1:1" x14ac:dyDescent="0.25">
      <c r="A186" s="13"/>
    </row>
    <row r="187" spans="1:1" x14ac:dyDescent="0.25">
      <c r="A187" s="13"/>
    </row>
    <row r="188" spans="1:1" x14ac:dyDescent="0.25">
      <c r="A188" s="13"/>
    </row>
    <row r="189" spans="1:1" x14ac:dyDescent="0.25">
      <c r="A189" s="13"/>
    </row>
    <row r="190" spans="1:1" x14ac:dyDescent="0.25">
      <c r="A190" s="13"/>
    </row>
    <row r="191" spans="1:1" x14ac:dyDescent="0.25">
      <c r="A191" s="13"/>
    </row>
    <row r="192" spans="1:1" x14ac:dyDescent="0.25">
      <c r="A192" s="13"/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6A44F-EB9C-4654-82E0-BA1854DDA88B}">
  <sheetPr codeName="Trace">
    <tabColor rgb="FFFF0000"/>
  </sheetPr>
  <dimension ref="A1:J1976"/>
  <sheetViews>
    <sheetView topLeftCell="D1" zoomScaleNormal="100" workbookViewId="0">
      <pane ySplit="1" topLeftCell="A755" activePane="bottomLeft" state="frozen"/>
      <selection activeCell="F37" sqref="F37"/>
      <selection pane="bottomLeft" activeCell="L775" sqref="L775"/>
    </sheetView>
  </sheetViews>
  <sheetFormatPr defaultRowHeight="15" x14ac:dyDescent="0.25"/>
  <cols>
    <col min="1" max="1" width="13.140625" style="27" hidden="1" customWidth="1"/>
    <col min="2" max="2" width="15" bestFit="1" customWidth="1"/>
    <col min="3" max="3" width="24.28515625" customWidth="1"/>
    <col min="4" max="4" width="50.85546875" style="12" customWidth="1"/>
    <col min="5" max="5" width="11.5703125" style="12" bestFit="1" customWidth="1"/>
    <col min="6" max="6" width="21.140625" style="12" customWidth="1"/>
    <col min="7" max="7" width="20.28515625" style="13" customWidth="1"/>
    <col min="8" max="8" width="65.28515625" style="12" bestFit="1" customWidth="1"/>
  </cols>
  <sheetData>
    <row r="1" spans="1:8" x14ac:dyDescent="0.25">
      <c r="A1" s="15" t="s">
        <v>7</v>
      </c>
      <c r="B1" s="1" t="s">
        <v>8</v>
      </c>
      <c r="C1" s="1" t="s">
        <v>9</v>
      </c>
      <c r="D1" s="14" t="s">
        <v>10</v>
      </c>
      <c r="E1" s="15" t="s">
        <v>11</v>
      </c>
      <c r="F1" s="11" t="s">
        <v>12</v>
      </c>
      <c r="G1" s="10" t="s">
        <v>13</v>
      </c>
      <c r="H1" s="11" t="s">
        <v>14</v>
      </c>
    </row>
    <row r="2" spans="1:8" x14ac:dyDescent="0.25">
      <c r="A2" s="28"/>
      <c r="B2" s="21" t="str" cm="1">
        <f t="array" aca="1" ref="B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" s="22" t="str" cm="1">
        <f t="array" aca="1" ref="C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A2, "'!C:C")),"NOK"))&gt;0, "NOK", "Pending....")),"")</f>
        <v/>
      </c>
      <c r="D2" s="24"/>
      <c r="E2" s="24"/>
      <c r="F2" s="24"/>
      <c r="G2" s="59"/>
      <c r="H2" s="24"/>
    </row>
    <row r="3" spans="1:8" x14ac:dyDescent="0.25">
      <c r="A3" s="28"/>
      <c r="B3" s="21" t="str" cm="1">
        <f t="array" aca="1" ref="B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" s="22" t="str" cm="1">
        <f t="array" aca="1" ref="C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A3, "'!C:C")),"NOK"))&gt;0, "NOK", "Pending....")),"")</f>
        <v/>
      </c>
      <c r="D3" s="24"/>
      <c r="E3" s="24"/>
      <c r="F3" s="24"/>
      <c r="G3" s="59"/>
      <c r="H3" s="24"/>
    </row>
    <row r="4" spans="1:8" x14ac:dyDescent="0.25">
      <c r="A4" s="28"/>
      <c r="B4" s="21" t="str" cm="1">
        <f t="array" aca="1" ref="B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" s="22" t="str" cm="1">
        <f t="array" aca="1" ref="C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A4, "'!C:C")),"NOK"))&gt;0, "NOK", "Pending....")),"")</f>
        <v/>
      </c>
      <c r="D4" s="24"/>
      <c r="E4" s="24"/>
      <c r="F4" s="24"/>
      <c r="G4" s="59"/>
      <c r="H4" s="24"/>
    </row>
    <row r="5" spans="1:8" x14ac:dyDescent="0.25">
      <c r="A5" s="28"/>
      <c r="B5" s="21" t="str" cm="1">
        <f t="array" aca="1" ref="B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" s="22" t="str" cm="1">
        <f t="array" aca="1" ref="C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A5, "'!C:C")),"NOK"))&gt;0, "NOK", "Pending....")),"")</f>
        <v/>
      </c>
      <c r="D5" s="24"/>
      <c r="E5" s="24"/>
      <c r="F5" s="24"/>
      <c r="G5" s="59"/>
      <c r="H5" s="24"/>
    </row>
    <row r="6" spans="1:8" x14ac:dyDescent="0.25">
      <c r="A6" s="28"/>
      <c r="B6" s="21" t="str" cm="1">
        <f t="array" aca="1" ref="B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" s="22" t="str" cm="1">
        <f t="array" aca="1" ref="C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A6, "'!C:C")),"NOK"))&gt;0, "NOK", "Pending....")),"")</f>
        <v/>
      </c>
      <c r="D6" s="24"/>
      <c r="E6" s="24"/>
      <c r="F6" s="24"/>
      <c r="G6" s="59"/>
      <c r="H6" s="24"/>
    </row>
    <row r="7" spans="1:8" x14ac:dyDescent="0.25">
      <c r="A7" s="28"/>
      <c r="B7" s="21" t="str" cm="1">
        <f t="array" aca="1" ref="B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" s="22" t="str" cm="1">
        <f t="array" aca="1" ref="C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A7, "'!C:C")),"NOK"))&gt;0, "NOK", "Pending....")),"")</f>
        <v/>
      </c>
      <c r="D7" s="24"/>
      <c r="E7" s="24"/>
      <c r="F7" s="24"/>
      <c r="G7" s="59"/>
      <c r="H7" s="24"/>
    </row>
    <row r="8" spans="1:8" x14ac:dyDescent="0.25">
      <c r="A8" s="28"/>
      <c r="B8" s="21" t="str" cm="1">
        <f t="array" aca="1" ref="B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" s="22" t="str" cm="1">
        <f t="array" aca="1" ref="C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A8, "'!C:C")),"NOK"))&gt;0, "NOK", "Pending....")),"")</f>
        <v/>
      </c>
      <c r="D8" s="24"/>
      <c r="E8" s="24"/>
      <c r="F8" s="24"/>
      <c r="G8" s="59"/>
      <c r="H8" s="24"/>
    </row>
    <row r="9" spans="1:8" x14ac:dyDescent="0.25">
      <c r="A9" s="28"/>
      <c r="B9" s="21" t="str" cm="1">
        <f t="array" aca="1" ref="B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" s="22" t="str" cm="1">
        <f t="array" aca="1" ref="C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A9, "'!C:C")),"NOK"))&gt;0, "NOK", "Pending....")),"")</f>
        <v/>
      </c>
      <c r="D9" s="24"/>
      <c r="E9" s="24"/>
      <c r="F9" s="24"/>
      <c r="G9" s="59"/>
      <c r="H9" s="55"/>
    </row>
    <row r="10" spans="1:8" x14ac:dyDescent="0.25">
      <c r="A10" s="28"/>
      <c r="B10" s="21" t="str" cm="1">
        <f t="array" aca="1" ref="B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" s="22" t="str" cm="1">
        <f t="array" aca="1" ref="C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A10, "'!C:C")),"NOK"))&gt;0, "NOK", "Pending....")),"")</f>
        <v/>
      </c>
      <c r="D10" s="24"/>
      <c r="E10" s="24"/>
      <c r="F10" s="24"/>
      <c r="G10" s="59"/>
      <c r="H10" s="55"/>
    </row>
    <row r="11" spans="1:8" x14ac:dyDescent="0.25">
      <c r="A11" s="28"/>
      <c r="B11" s="21" t="str" cm="1">
        <f t="array" aca="1" ref="B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" s="22" t="str" cm="1">
        <f t="array" aca="1" ref="C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A11, "'!C:C")),"NOK"))&gt;0, "NOK", "Pending....")),"")</f>
        <v/>
      </c>
      <c r="D11" s="24"/>
      <c r="E11" s="24"/>
      <c r="F11" s="24"/>
      <c r="G11" s="59"/>
      <c r="H11" s="55"/>
    </row>
    <row r="12" spans="1:8" x14ac:dyDescent="0.25">
      <c r="A12" s="28"/>
      <c r="B12" s="21" t="str" cm="1">
        <f t="array" aca="1" ref="B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" s="22" t="str" cm="1">
        <f t="array" aca="1" ref="C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A12, "'!C:C")),"NOK"))&gt;0, "NOK", "Pending....")),"")</f>
        <v/>
      </c>
      <c r="D12" s="24"/>
      <c r="E12" s="24"/>
      <c r="F12" s="24"/>
      <c r="G12" s="59"/>
      <c r="H12" s="55"/>
    </row>
    <row r="13" spans="1:8" x14ac:dyDescent="0.25">
      <c r="A13" s="28"/>
      <c r="B13" s="21" t="str" cm="1">
        <f t="array" aca="1" ref="B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" s="22" t="str" cm="1">
        <f t="array" aca="1" ref="C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A13, "'!C:C")),"NOK"))&gt;0, "NOK", "Pending....")),"")</f>
        <v/>
      </c>
      <c r="D13" s="24"/>
      <c r="E13" s="24"/>
      <c r="F13" s="24"/>
      <c r="G13" s="59"/>
      <c r="H13" s="55"/>
    </row>
    <row r="14" spans="1:8" x14ac:dyDescent="0.25">
      <c r="A14" s="28"/>
      <c r="B14" s="21" t="str" cm="1">
        <f t="array" aca="1" ref="B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" s="22" t="str" cm="1">
        <f t="array" aca="1" ref="C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A14, "'!C:C")),"NOK"))&gt;0, "NOK", "Pending....")),"")</f>
        <v/>
      </c>
      <c r="D14" s="24"/>
      <c r="E14" s="24"/>
      <c r="F14" s="24"/>
      <c r="G14" s="59"/>
      <c r="H14" s="55"/>
    </row>
    <row r="15" spans="1:8" x14ac:dyDescent="0.25">
      <c r="A15" s="28"/>
      <c r="B15" s="21" t="str" cm="1">
        <f t="array" aca="1" ref="B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" s="22" t="str" cm="1">
        <f t="array" aca="1" ref="C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A15, "'!C:C")),"NOK"))&gt;0, "NOK", "Pending....")),"")</f>
        <v/>
      </c>
      <c r="D15" s="24"/>
      <c r="E15" s="24"/>
      <c r="F15" s="24"/>
      <c r="G15" s="59"/>
      <c r="H15" s="55"/>
    </row>
    <row r="16" spans="1:8" x14ac:dyDescent="0.25">
      <c r="A16" s="28"/>
      <c r="B16" s="21" t="str" cm="1">
        <f t="array" aca="1" ref="B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" s="22" t="str" cm="1">
        <f t="array" aca="1" ref="C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A16, "'!C:C")),"NOK"))&gt;0, "NOK", "Pending....")),"")</f>
        <v/>
      </c>
      <c r="D16" s="24"/>
      <c r="E16" s="24"/>
      <c r="F16" s="24"/>
      <c r="G16" s="59"/>
      <c r="H16" s="24"/>
    </row>
    <row r="17" spans="1:8" x14ac:dyDescent="0.25">
      <c r="A17" s="28"/>
      <c r="B17" s="21" t="str" cm="1">
        <f t="array" aca="1" ref="B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" s="22" t="str" cm="1">
        <f t="array" aca="1" ref="C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A17, "'!C:C")),"NOK"))&gt;0, "NOK", "Pending....")),"")</f>
        <v/>
      </c>
      <c r="D17" s="23"/>
      <c r="E17" s="24"/>
      <c r="F17" s="24"/>
      <c r="G17" s="59"/>
      <c r="H17" s="24"/>
    </row>
    <row r="18" spans="1:8" x14ac:dyDescent="0.25">
      <c r="A18" s="28"/>
      <c r="B18" s="21" t="str" cm="1">
        <f t="array" aca="1" ref="B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" s="22" t="str" cm="1">
        <f t="array" aca="1" ref="C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A18, "'!C:C")),"NOK"))&gt;0, "NOK", "Pending....")),"")</f>
        <v/>
      </c>
      <c r="D18" s="24"/>
      <c r="E18" s="24"/>
      <c r="F18" s="24"/>
      <c r="G18" s="59"/>
      <c r="H18" s="24"/>
    </row>
    <row r="19" spans="1:8" x14ac:dyDescent="0.25">
      <c r="A19" s="28"/>
      <c r="B19" s="21" t="str" cm="1">
        <f t="array" aca="1" ref="B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" s="22" t="str" cm="1">
        <f t="array" aca="1" ref="C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A19, "'!C:C")),"NOK"))&gt;0, "NOK", "Pending....")),"")</f>
        <v/>
      </c>
      <c r="D19" s="24"/>
      <c r="E19" s="24"/>
      <c r="F19" s="24"/>
      <c r="G19" s="59"/>
      <c r="H19" s="24"/>
    </row>
    <row r="20" spans="1:8" x14ac:dyDescent="0.25">
      <c r="A20" s="28"/>
      <c r="B20" s="21" t="str" cm="1">
        <f t="array" aca="1" ref="B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" s="22" t="str" cm="1">
        <f t="array" aca="1" ref="C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A20, "'!C:C")),"NOK"))&gt;0, "NOK", "Pending....")),"")</f>
        <v/>
      </c>
      <c r="D20" s="24"/>
      <c r="E20" s="24"/>
      <c r="F20" s="24"/>
      <c r="G20" s="59"/>
      <c r="H20" s="24"/>
    </row>
    <row r="21" spans="1:8" x14ac:dyDescent="0.25">
      <c r="A21" s="28"/>
      <c r="B21" s="21" t="str" cm="1">
        <f t="array" aca="1" ref="B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" s="22" t="str" cm="1">
        <f t="array" aca="1" ref="C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A21, "'!C:C")),"NOK"))&gt;0, "NOK", "Pending....")),"")</f>
        <v/>
      </c>
      <c r="D21" s="24"/>
      <c r="E21" s="24"/>
      <c r="F21" s="24"/>
      <c r="G21" s="59"/>
      <c r="H21" s="24"/>
    </row>
    <row r="22" spans="1:8" x14ac:dyDescent="0.25">
      <c r="A22" s="28"/>
      <c r="B22" s="21" t="str" cm="1">
        <f t="array" aca="1" ref="B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" s="22" t="str" cm="1">
        <f t="array" aca="1" ref="C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A22, "'!C:C")),"NOK"))&gt;0, "NOK", "Pending....")),"")</f>
        <v/>
      </c>
      <c r="D22" s="24"/>
      <c r="E22" s="24"/>
      <c r="F22" s="24"/>
      <c r="G22" s="59"/>
      <c r="H22" s="24"/>
    </row>
    <row r="23" spans="1:8" x14ac:dyDescent="0.25">
      <c r="A23" s="28"/>
      <c r="B23" s="21" t="str" cm="1">
        <f t="array" aca="1" ref="B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" s="22" t="str" cm="1">
        <f t="array" aca="1" ref="C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A23, "'!C:C")),"NOK"))&gt;0, "NOK", "Pending....")),"")</f>
        <v/>
      </c>
      <c r="D23" s="24"/>
      <c r="E23" s="24"/>
      <c r="F23" s="24"/>
      <c r="G23" s="59"/>
      <c r="H23" s="24"/>
    </row>
    <row r="24" spans="1:8" x14ac:dyDescent="0.25">
      <c r="A24" s="28"/>
      <c r="B24" s="21" t="str" cm="1">
        <f t="array" aca="1" ref="B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" s="22" t="str" cm="1">
        <f t="array" aca="1" ref="C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A24, "'!C:C")),"NOK"))&gt;0, "NOK", "Pending....")),"")</f>
        <v/>
      </c>
      <c r="D24" s="23"/>
      <c r="E24" s="24"/>
      <c r="F24" s="24"/>
      <c r="G24" s="59"/>
      <c r="H24" s="51"/>
    </row>
    <row r="25" spans="1:8" x14ac:dyDescent="0.25">
      <c r="A25" s="28"/>
      <c r="B25" s="21" t="str" cm="1">
        <f t="array" aca="1" ref="B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" s="22" t="str" cm="1">
        <f t="array" aca="1" ref="C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A25, "'!C:C")),"NOK"))&gt;0, "NOK", "Pending....")),"")</f>
        <v/>
      </c>
      <c r="D25" s="23"/>
      <c r="E25" s="24"/>
      <c r="F25" s="24"/>
      <c r="G25" s="59"/>
      <c r="H25" s="51"/>
    </row>
    <row r="26" spans="1:8" x14ac:dyDescent="0.25">
      <c r="A26" s="28"/>
      <c r="B26" s="21" t="str" cm="1">
        <f t="array" aca="1" ref="B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" s="22" t="str" cm="1">
        <f t="array" aca="1" ref="C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A26, "'!C:C")),"NOK"))&gt;0, "NOK", "Pending....")),"")</f>
        <v/>
      </c>
      <c r="D26" s="23"/>
      <c r="E26" s="24"/>
      <c r="F26" s="25"/>
      <c r="G26" s="59"/>
      <c r="H26" s="51"/>
    </row>
    <row r="27" spans="1:8" x14ac:dyDescent="0.25">
      <c r="A27" s="28"/>
      <c r="B27" s="21" t="str" cm="1">
        <f t="array" aca="1" ref="B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" s="22" t="str" cm="1">
        <f t="array" aca="1" ref="C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A27, "'!C:C")),"NOK"))&gt;0, "NOK", "Pending....")),"")</f>
        <v/>
      </c>
      <c r="D27" s="23"/>
      <c r="E27" s="24"/>
      <c r="F27" s="25"/>
      <c r="G27" s="59"/>
      <c r="H27" s="51"/>
    </row>
    <row r="28" spans="1:8" x14ac:dyDescent="0.25">
      <c r="A28" s="28"/>
      <c r="B28" s="21" t="str" cm="1">
        <f t="array" aca="1" ref="B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" s="22" t="str" cm="1">
        <f t="array" aca="1" ref="C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A28, "'!C:C")),"NOK"))&gt;0, "NOK", "Pending....")),"")</f>
        <v/>
      </c>
      <c r="D28" s="24"/>
      <c r="E28" s="24"/>
      <c r="F28" s="25"/>
      <c r="G28" s="59"/>
      <c r="H28" s="24"/>
    </row>
    <row r="29" spans="1:8" x14ac:dyDescent="0.25">
      <c r="A29" s="28"/>
      <c r="B29" s="21" t="str" cm="1">
        <f t="array" aca="1" ref="B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" s="22" t="str" cm="1">
        <f t="array" aca="1" ref="C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A29, "'!C:C")),"NOK"))&gt;0, "NOK", "Pending....")),"")</f>
        <v/>
      </c>
      <c r="D29" s="24"/>
      <c r="E29" s="24"/>
      <c r="F29" s="24"/>
      <c r="G29" s="59"/>
      <c r="H29" s="24"/>
    </row>
    <row r="30" spans="1:8" x14ac:dyDescent="0.25">
      <c r="A30" s="28"/>
      <c r="B30" s="21" t="str" cm="1">
        <f t="array" aca="1" ref="B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" s="22" t="str" cm="1">
        <f t="array" aca="1" ref="C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A30, "'!C:C")),"NOK"))&gt;0, "NOK", "Pending....")),"")</f>
        <v/>
      </c>
      <c r="D30" s="24"/>
      <c r="E30" s="24"/>
      <c r="F30" s="24"/>
      <c r="G30" s="59"/>
      <c r="H30" s="24"/>
    </row>
    <row r="31" spans="1:8" x14ac:dyDescent="0.25">
      <c r="A31" s="28"/>
      <c r="B31" s="21" t="str" cm="1">
        <f t="array" aca="1" ref="B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" s="22" t="str" cm="1">
        <f t="array" aca="1" ref="C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A31, "'!C:C")),"NOK"))&gt;0, "NOK", "Pending....")),"")</f>
        <v/>
      </c>
      <c r="D31" s="23"/>
      <c r="E31" s="24"/>
      <c r="F31" s="25"/>
      <c r="G31" s="59"/>
      <c r="H31" s="24"/>
    </row>
    <row r="32" spans="1:8" x14ac:dyDescent="0.25">
      <c r="A32" s="28"/>
      <c r="B32" s="21" t="str" cm="1">
        <f t="array" aca="1" ref="B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" s="22" t="str" cm="1">
        <f t="array" aca="1" ref="C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A32, "'!C:C")),"NOK"))&gt;0, "NOK", "Pending....")),"")</f>
        <v/>
      </c>
      <c r="D32" s="24"/>
      <c r="E32" s="24"/>
      <c r="F32" s="25"/>
      <c r="G32" s="59"/>
      <c r="H32" s="24"/>
    </row>
    <row r="33" spans="1:8" x14ac:dyDescent="0.25">
      <c r="A33" s="28"/>
      <c r="B33" s="21" t="str" cm="1">
        <f t="array" aca="1" ref="B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" s="22" t="str" cm="1">
        <f t="array" aca="1" ref="C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A33, "'!C:C")),"NOK"))&gt;0, "NOK", "Pending....")),"")</f>
        <v/>
      </c>
      <c r="D33" s="23"/>
      <c r="E33" s="24"/>
      <c r="F33" s="25"/>
      <c r="G33" s="59"/>
      <c r="H33" s="24"/>
    </row>
    <row r="34" spans="1:8" x14ac:dyDescent="0.25">
      <c r="A34" s="28"/>
      <c r="B34" s="21" t="str" cm="1">
        <f t="array" aca="1" ref="B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" s="22" t="str" cm="1">
        <f t="array" aca="1" ref="C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A34, "'!C:C")),"NOK"))&gt;0, "NOK", "Pending....")),"")</f>
        <v/>
      </c>
      <c r="D34" s="24"/>
      <c r="E34" s="24"/>
      <c r="F34" s="24"/>
      <c r="G34" s="59"/>
      <c r="H34" s="24"/>
    </row>
    <row r="35" spans="1:8" x14ac:dyDescent="0.25">
      <c r="A35" s="28"/>
      <c r="B35" s="21" t="str" cm="1">
        <f t="array" aca="1" ref="B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" s="22" t="str" cm="1">
        <f t="array" aca="1" ref="C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A35, "'!C:C")),"NOK"))&gt;0, "NOK", "Pending....")),"")</f>
        <v/>
      </c>
      <c r="D35" s="24"/>
      <c r="E35" s="24"/>
      <c r="F35" s="24"/>
      <c r="G35" s="59"/>
      <c r="H35" s="24"/>
    </row>
    <row r="36" spans="1:8" x14ac:dyDescent="0.25">
      <c r="A36" s="28"/>
      <c r="B36" s="21" t="str" cm="1">
        <f t="array" aca="1" ref="B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" s="22" t="str" cm="1">
        <f t="array" aca="1" ref="C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A36, "'!C:C")),"NOK"))&gt;0, "NOK", "Pending....")),"")</f>
        <v/>
      </c>
      <c r="D36" s="24"/>
      <c r="E36" s="24"/>
      <c r="F36" s="24"/>
      <c r="G36" s="59"/>
      <c r="H36" s="24"/>
    </row>
    <row r="37" spans="1:8" x14ac:dyDescent="0.25">
      <c r="A37" s="28"/>
      <c r="B37" s="21" t="str" cm="1">
        <f t="array" aca="1" ref="B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" s="22" t="str" cm="1">
        <f t="array" aca="1" ref="C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A37, "'!C:C")),"NOK"))&gt;0, "NOK", "Pending....")),"")</f>
        <v/>
      </c>
      <c r="D37" s="24"/>
      <c r="E37" s="24"/>
      <c r="F37" s="24"/>
      <c r="G37" s="59"/>
      <c r="H37" s="24"/>
    </row>
    <row r="38" spans="1:8" x14ac:dyDescent="0.25">
      <c r="A38" s="28"/>
      <c r="B38" s="21" t="str" cm="1">
        <f t="array" aca="1" ref="B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" s="22" t="str" cm="1">
        <f t="array" aca="1" ref="C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A38, "'!C:C")),"NOK"))&gt;0, "NOK", "Pending....")),"")</f>
        <v/>
      </c>
      <c r="D38" s="23"/>
      <c r="E38" s="24"/>
      <c r="F38" s="25"/>
      <c r="G38" s="59"/>
      <c r="H38" s="24"/>
    </row>
    <row r="39" spans="1:8" x14ac:dyDescent="0.25">
      <c r="A39" s="28"/>
      <c r="B39" s="21" t="str" cm="1">
        <f t="array" aca="1" ref="B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" s="22" t="str" cm="1">
        <f t="array" aca="1" ref="C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A39, "'!C:C")),"NOK"))&gt;0, "NOK", "Pending....")),"")</f>
        <v/>
      </c>
      <c r="D39" s="23"/>
      <c r="E39" s="24"/>
      <c r="F39" s="25"/>
      <c r="G39" s="59"/>
      <c r="H39" s="24"/>
    </row>
    <row r="40" spans="1:8" x14ac:dyDescent="0.25">
      <c r="A40" s="28"/>
      <c r="B40" s="21" t="str" cm="1">
        <f t="array" aca="1" ref="B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" s="22" t="str" cm="1">
        <f t="array" aca="1" ref="C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A40, "'!C:C")),"NOK"))&gt;0, "NOK", "Pending....")),"")</f>
        <v/>
      </c>
      <c r="D40" s="23"/>
      <c r="E40" s="24"/>
      <c r="F40" s="25"/>
      <c r="G40" s="59"/>
      <c r="H40" s="24"/>
    </row>
    <row r="41" spans="1:8" x14ac:dyDescent="0.25">
      <c r="A41" s="28"/>
      <c r="B41" s="21" t="str" cm="1">
        <f t="array" aca="1" ref="B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" s="22" t="str" cm="1">
        <f t="array" aca="1" ref="C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A41, "'!C:C")),"NOK"))&gt;0, "NOK", "Pending....")),"")</f>
        <v/>
      </c>
      <c r="D41" s="23"/>
      <c r="E41" s="24"/>
      <c r="F41" s="25"/>
      <c r="G41" s="59"/>
      <c r="H41" s="24"/>
    </row>
    <row r="42" spans="1:8" x14ac:dyDescent="0.25">
      <c r="A42" s="28"/>
      <c r="B42" s="21" t="str" cm="1">
        <f t="array" aca="1" ref="B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" s="22" t="str" cm="1">
        <f t="array" aca="1" ref="C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A42, "'!C:C")),"NOK"))&gt;0, "NOK", "Pending....")),"")</f>
        <v/>
      </c>
      <c r="D42" s="23"/>
      <c r="E42" s="24"/>
      <c r="F42" s="25"/>
      <c r="G42" s="59"/>
      <c r="H42" s="24"/>
    </row>
    <row r="43" spans="1:8" x14ac:dyDescent="0.25">
      <c r="A43" s="28"/>
      <c r="B43" s="21" t="str" cm="1">
        <f t="array" aca="1" ref="B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" s="22" t="str" cm="1">
        <f t="array" aca="1" ref="C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A43, "'!C:C")),"NOK"))&gt;0, "NOK", "Pending....")),"")</f>
        <v/>
      </c>
      <c r="D43" s="23"/>
      <c r="E43" s="24"/>
      <c r="F43" s="25"/>
      <c r="G43" s="59"/>
      <c r="H43" s="24"/>
    </row>
    <row r="44" spans="1:8" x14ac:dyDescent="0.25">
      <c r="A44" s="28"/>
      <c r="B44" s="21" t="str" cm="1">
        <f t="array" aca="1" ref="B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" s="22" t="str" cm="1">
        <f t="array" aca="1" ref="C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A44, "'!C:C")),"NOK"))&gt;0, "NOK", "Pending....")),"")</f>
        <v/>
      </c>
      <c r="D44" s="23"/>
      <c r="E44" s="24"/>
      <c r="F44" s="25"/>
      <c r="G44" s="59"/>
      <c r="H44" s="24"/>
    </row>
    <row r="45" spans="1:8" x14ac:dyDescent="0.25">
      <c r="A45" s="28"/>
      <c r="B45" s="21" t="str" cm="1">
        <f t="array" aca="1" ref="B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" s="22" t="str" cm="1">
        <f t="array" aca="1" ref="C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A45, "'!C:C")),"NOK"))&gt;0, "NOK", "Pending....")),"")</f>
        <v/>
      </c>
      <c r="D45" s="23"/>
      <c r="E45" s="24"/>
      <c r="F45" s="25"/>
      <c r="G45" s="59"/>
      <c r="H45" s="24"/>
    </row>
    <row r="46" spans="1:8" x14ac:dyDescent="0.25">
      <c r="A46" s="28"/>
      <c r="B46" s="21" t="str" cm="1">
        <f t="array" aca="1" ref="B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" s="22" t="str" cm="1">
        <f t="array" aca="1" ref="C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A46, "'!C:C")),"NOK"))&gt;0, "NOK", "Pending....")),"")</f>
        <v/>
      </c>
      <c r="D46" s="23"/>
      <c r="E46" s="24"/>
      <c r="F46" s="25"/>
      <c r="G46" s="59"/>
      <c r="H46" s="24"/>
    </row>
    <row r="47" spans="1:8" x14ac:dyDescent="0.25">
      <c r="A47" s="28"/>
      <c r="B47" s="21" t="str" cm="1">
        <f t="array" aca="1" ref="B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" s="22" t="str" cm="1">
        <f t="array" aca="1" ref="C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A47, "'!C:C")),"NOK"))&gt;0, "NOK", "Pending....")),"")</f>
        <v/>
      </c>
      <c r="D47" s="24"/>
      <c r="E47" s="24"/>
      <c r="F47" s="25"/>
      <c r="G47" s="59"/>
      <c r="H47" s="24"/>
    </row>
    <row r="48" spans="1:8" x14ac:dyDescent="0.25">
      <c r="A48" s="28"/>
      <c r="B48" s="21" t="str" cm="1">
        <f t="array" aca="1" ref="B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" s="22" t="str" cm="1">
        <f t="array" aca="1" ref="C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A48, "'!C:C")),"NOK"))&gt;0, "NOK", "Pending....")),"")</f>
        <v/>
      </c>
      <c r="D48" s="24"/>
      <c r="E48" s="24"/>
      <c r="F48" s="25"/>
      <c r="G48" s="59"/>
      <c r="H48" s="24"/>
    </row>
    <row r="49" spans="1:8" x14ac:dyDescent="0.25">
      <c r="A49" s="28"/>
      <c r="B49" s="21" t="str" cm="1">
        <f t="array" aca="1" ref="B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" s="22" t="str" cm="1">
        <f t="array" aca="1" ref="C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A49, "'!C:C")),"NOK"))&gt;0, "NOK", "Pending....")),"")</f>
        <v/>
      </c>
      <c r="D49" s="23"/>
      <c r="E49" s="24"/>
      <c r="F49" s="25"/>
      <c r="G49" s="59"/>
      <c r="H49" s="24"/>
    </row>
    <row r="50" spans="1:8" x14ac:dyDescent="0.25">
      <c r="A50" s="28"/>
      <c r="B50" s="21" t="str" cm="1">
        <f t="array" aca="1" ref="B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" s="22" t="str" cm="1">
        <f t="array" aca="1" ref="C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A50, "'!C:C")),"NOK"))&gt;0, "NOK", "Pending....")),"")</f>
        <v/>
      </c>
      <c r="D50" s="23"/>
      <c r="E50" s="24"/>
      <c r="F50" s="25"/>
      <c r="G50" s="59"/>
      <c r="H50" s="24"/>
    </row>
    <row r="51" spans="1:8" x14ac:dyDescent="0.25">
      <c r="A51" s="28"/>
      <c r="B51" s="21" t="str" cm="1">
        <f t="array" aca="1" ref="B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" s="22" t="str" cm="1">
        <f t="array" aca="1" ref="C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A51, "'!C:C")),"NOK"))&gt;0, "NOK", "Pending....")),"")</f>
        <v/>
      </c>
      <c r="D51" s="23"/>
      <c r="E51" s="24"/>
      <c r="F51" s="25"/>
      <c r="G51" s="59"/>
      <c r="H51" s="24"/>
    </row>
    <row r="52" spans="1:8" x14ac:dyDescent="0.25">
      <c r="A52" s="28"/>
      <c r="B52" s="21" t="str" cm="1">
        <f t="array" aca="1" ref="B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" s="22" t="str" cm="1">
        <f t="array" aca="1" ref="C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A52, "'!C:C")),"NOK"))&gt;0, "NOK", "Pending....")),"")</f>
        <v/>
      </c>
      <c r="D52" s="23"/>
      <c r="E52" s="24"/>
      <c r="F52" s="25"/>
      <c r="G52" s="59"/>
      <c r="H52" s="24"/>
    </row>
    <row r="53" spans="1:8" x14ac:dyDescent="0.25">
      <c r="A53" s="28"/>
      <c r="B53" s="21" t="str" cm="1">
        <f t="array" aca="1" ref="B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" s="22" t="str" cm="1">
        <f t="array" aca="1" ref="C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A53, "'!C:C")),"NOK"))&gt;0, "NOK", "Pending....")),"")</f>
        <v/>
      </c>
      <c r="D53" s="23"/>
      <c r="E53" s="24"/>
      <c r="F53" s="25"/>
      <c r="G53" s="59"/>
      <c r="H53" s="24"/>
    </row>
    <row r="54" spans="1:8" x14ac:dyDescent="0.25">
      <c r="A54" s="28"/>
      <c r="B54" s="21" t="str" cm="1">
        <f t="array" aca="1" ref="B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" s="22" t="str" cm="1">
        <f t="array" aca="1" ref="C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A54, "'!C:C")),"NOK"))&gt;0, "NOK", "Pending....")),"")</f>
        <v/>
      </c>
      <c r="D54" s="23"/>
      <c r="E54" s="24"/>
      <c r="F54" s="25"/>
      <c r="G54" s="59"/>
      <c r="H54" s="24"/>
    </row>
    <row r="55" spans="1:8" x14ac:dyDescent="0.25">
      <c r="A55" s="28"/>
      <c r="B55" s="21" t="str" cm="1">
        <f t="array" aca="1" ref="B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" s="22" t="str" cm="1">
        <f t="array" aca="1" ref="C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A55, "'!C:C")),"NOK"))&gt;0, "NOK", "Pending....")),"")</f>
        <v/>
      </c>
      <c r="D55" s="23"/>
      <c r="E55" s="24"/>
      <c r="F55" s="25"/>
      <c r="G55" s="59"/>
      <c r="H55" s="24"/>
    </row>
    <row r="56" spans="1:8" x14ac:dyDescent="0.25">
      <c r="A56" s="28"/>
      <c r="B56" s="21" t="str" cm="1">
        <f t="array" aca="1" ref="B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" s="22" t="str" cm="1">
        <f t="array" aca="1" ref="C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A56, "'!C:C")),"NOK"))&gt;0, "NOK", "Pending....")),"")</f>
        <v/>
      </c>
      <c r="D56" s="23"/>
      <c r="E56" s="24"/>
      <c r="F56" s="25"/>
      <c r="G56" s="59"/>
      <c r="H56" s="24"/>
    </row>
    <row r="57" spans="1:8" x14ac:dyDescent="0.25">
      <c r="A57" s="28"/>
      <c r="B57" s="21" t="str" cm="1">
        <f t="array" aca="1" ref="B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" s="22" t="str" cm="1">
        <f t="array" aca="1" ref="C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A57, "'!C:C")),"NOK"))&gt;0, "NOK", "Pending....")),"")</f>
        <v/>
      </c>
      <c r="D57" s="23"/>
      <c r="E57" s="24"/>
      <c r="F57" s="25"/>
      <c r="G57" s="59"/>
      <c r="H57" s="24"/>
    </row>
    <row r="58" spans="1:8" x14ac:dyDescent="0.25">
      <c r="A58" s="28"/>
      <c r="B58" s="21" t="str" cm="1">
        <f t="array" aca="1" ref="B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" s="22" t="str" cm="1">
        <f t="array" aca="1" ref="C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A58, "'!C:C")),"NOK"))&gt;0, "NOK", "Pending....")),"")</f>
        <v/>
      </c>
      <c r="D58" s="24"/>
      <c r="E58" s="24"/>
      <c r="F58" s="24"/>
      <c r="G58" s="59"/>
      <c r="H58" s="51"/>
    </row>
    <row r="59" spans="1:8" x14ac:dyDescent="0.25">
      <c r="A59" s="28"/>
      <c r="B59" s="21" t="str" cm="1">
        <f t="array" aca="1" ref="B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" s="22" t="str" cm="1">
        <f t="array" aca="1" ref="C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A59, "'!C:C")),"NOK"))&gt;0, "NOK", "Pending....")),"")</f>
        <v/>
      </c>
      <c r="D59" s="23"/>
      <c r="E59" s="24"/>
      <c r="F59" s="25"/>
      <c r="G59" s="59"/>
      <c r="H59" s="51"/>
    </row>
    <row r="60" spans="1:8" x14ac:dyDescent="0.25">
      <c r="A60" s="28"/>
      <c r="B60" s="21" t="str" cm="1">
        <f t="array" aca="1" ref="B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" s="22" t="str" cm="1">
        <f t="array" aca="1" ref="C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A60, "'!C:C")),"NOK"))&gt;0, "NOK", "Pending....")),"")</f>
        <v/>
      </c>
      <c r="D60" s="23"/>
      <c r="E60" s="24"/>
      <c r="F60" s="25"/>
      <c r="G60" s="59"/>
      <c r="H60" s="51"/>
    </row>
    <row r="61" spans="1:8" x14ac:dyDescent="0.25">
      <c r="A61" s="28"/>
      <c r="B61" s="21" t="str" cm="1">
        <f t="array" aca="1" ref="B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" s="22" t="str" cm="1">
        <f t="array" aca="1" ref="C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A61, "'!C:C")),"NOK"))&gt;0, "NOK", "Pending....")),"")</f>
        <v/>
      </c>
      <c r="D61" s="23"/>
      <c r="E61" s="24"/>
      <c r="F61" s="25"/>
      <c r="G61" s="59"/>
      <c r="H61" s="51"/>
    </row>
    <row r="62" spans="1:8" x14ac:dyDescent="0.25">
      <c r="A62" s="28"/>
      <c r="B62" s="21" t="str" cm="1">
        <f t="array" aca="1" ref="B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" s="22" t="str" cm="1">
        <f t="array" aca="1" ref="C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A62, "'!C:C")),"NOK"))&gt;0, "NOK", "Pending....")),"")</f>
        <v/>
      </c>
      <c r="D62" s="23"/>
      <c r="E62" s="24"/>
      <c r="F62" s="38"/>
      <c r="G62" s="59"/>
      <c r="H62" s="51"/>
    </row>
    <row r="63" spans="1:8" x14ac:dyDescent="0.25">
      <c r="A63" s="28"/>
      <c r="B63" s="21" t="str" cm="1">
        <f t="array" aca="1" ref="B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" s="22" t="str" cm="1">
        <f t="array" aca="1" ref="C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A63, "'!C:C")),"NOK"))&gt;0, "NOK", "Pending....")),"")</f>
        <v/>
      </c>
      <c r="D63" s="23"/>
      <c r="E63" s="24"/>
      <c r="F63" s="38"/>
      <c r="G63" s="59"/>
      <c r="H63" s="51"/>
    </row>
    <row r="64" spans="1:8" x14ac:dyDescent="0.25">
      <c r="A64" s="28"/>
      <c r="B64" s="21" t="str" cm="1">
        <f t="array" aca="1" ref="B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" s="22" t="str" cm="1">
        <f t="array" aca="1" ref="C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A64, "'!C:C")),"NOK"))&gt;0, "NOK", "Pending....")),"")</f>
        <v/>
      </c>
      <c r="D64" s="23"/>
      <c r="E64" s="24"/>
      <c r="F64" s="38"/>
      <c r="G64" s="59"/>
      <c r="H64" s="51"/>
    </row>
    <row r="65" spans="1:10" x14ac:dyDescent="0.25">
      <c r="A65" s="28"/>
      <c r="B65" s="21" t="str" cm="1">
        <f t="array" aca="1" ref="B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" s="22" t="str" cm="1">
        <f t="array" aca="1" ref="C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A65, "'!C:C")),"NOK"))&gt;0, "NOK", "Pending....")),"")</f>
        <v/>
      </c>
      <c r="D65" s="23"/>
      <c r="E65" s="24"/>
      <c r="F65" s="25"/>
      <c r="G65" s="59"/>
      <c r="H65" s="24"/>
    </row>
    <row r="66" spans="1:10" x14ac:dyDescent="0.25">
      <c r="A66" s="28"/>
      <c r="B66" s="21" t="str" cm="1">
        <f t="array" aca="1" ref="B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" s="22" t="str" cm="1">
        <f t="array" aca="1" ref="C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A66, "'!C:C")),"NOK"))&gt;0, "NOK", "Pending....")),"")</f>
        <v/>
      </c>
      <c r="D66" s="23"/>
      <c r="E66" s="24"/>
      <c r="F66" s="25"/>
      <c r="G66" s="59"/>
      <c r="H66" s="24"/>
    </row>
    <row r="67" spans="1:10" x14ac:dyDescent="0.25">
      <c r="A67" s="28"/>
      <c r="B67" s="21" t="str" cm="1">
        <f t="array" aca="1" ref="B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" s="22" t="str" cm="1">
        <f t="array" aca="1" ref="C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A67, "'!C:C")),"NOK"))&gt;0, "NOK", "Pending....")),"")</f>
        <v/>
      </c>
      <c r="D67" s="23"/>
      <c r="E67" s="24"/>
      <c r="F67" s="25"/>
      <c r="G67" s="59"/>
      <c r="H67" s="24"/>
    </row>
    <row r="68" spans="1:10" x14ac:dyDescent="0.25">
      <c r="A68" s="28"/>
      <c r="B68" s="21" t="str" cm="1">
        <f t="array" aca="1" ref="B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" s="22" t="str" cm="1">
        <f t="array" aca="1" ref="C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A68, "'!C:C")),"NOK"))&gt;0, "NOK", "Pending....")),"")</f>
        <v/>
      </c>
      <c r="D68" s="23"/>
      <c r="E68" s="24"/>
      <c r="F68" s="25"/>
      <c r="G68" s="59"/>
      <c r="H68" s="24"/>
    </row>
    <row r="69" spans="1:10" x14ac:dyDescent="0.25">
      <c r="A69" s="28"/>
      <c r="B69" s="21" t="str" cm="1">
        <f t="array" aca="1" ref="B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" s="22" t="str" cm="1">
        <f t="array" aca="1" ref="C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A69, "'!C:C")),"NOK"))&gt;0, "NOK", "Pending....")),"")</f>
        <v/>
      </c>
      <c r="D69" s="23"/>
      <c r="E69" s="24"/>
      <c r="F69" s="25"/>
      <c r="G69" s="59"/>
      <c r="H69" s="24"/>
    </row>
    <row r="70" spans="1:10" x14ac:dyDescent="0.25">
      <c r="A70" s="28"/>
      <c r="B70" s="21" t="str" cm="1">
        <f t="array" aca="1" ref="B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" s="22" t="str" cm="1">
        <f t="array" aca="1" ref="C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A70, "'!C:C")),"NOK"))&gt;0, "NOK", "Pending....")),"")</f>
        <v/>
      </c>
      <c r="D70" s="23"/>
      <c r="E70" s="24"/>
      <c r="F70" s="25"/>
      <c r="G70" s="59"/>
      <c r="H70" s="24"/>
      <c r="J70" s="3"/>
    </row>
    <row r="71" spans="1:10" x14ac:dyDescent="0.25">
      <c r="A71" s="28"/>
      <c r="B71" s="21" t="str" cm="1">
        <f t="array" aca="1" ref="B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" s="22" t="str" cm="1">
        <f t="array" aca="1" ref="C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A71, "'!C:C")),"NOK"))&gt;0, "NOK", "Pending....")),"")</f>
        <v/>
      </c>
      <c r="D71" s="23"/>
      <c r="E71" s="24"/>
      <c r="F71" s="25"/>
      <c r="G71" s="59"/>
      <c r="H71" s="24"/>
      <c r="J71" s="3"/>
    </row>
    <row r="72" spans="1:10" x14ac:dyDescent="0.25">
      <c r="A72" s="28"/>
      <c r="B72" s="21" t="str" cm="1">
        <f t="array" aca="1" ref="B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" s="22" t="str" cm="1">
        <f t="array" aca="1" ref="C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A72, "'!C:C")),"NOK"))&gt;0, "NOK", "Pending....")),"")</f>
        <v/>
      </c>
      <c r="D72" s="23"/>
      <c r="E72" s="24"/>
      <c r="F72" s="25"/>
      <c r="G72" s="59"/>
      <c r="H72" s="24"/>
      <c r="J72" s="3"/>
    </row>
    <row r="73" spans="1:10" x14ac:dyDescent="0.25">
      <c r="A73" s="28"/>
      <c r="B73" s="21" t="str" cm="1">
        <f t="array" aca="1" ref="B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" s="22" t="str" cm="1">
        <f t="array" aca="1" ref="C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A73, "'!C:C")),"NOK"))&gt;0, "NOK", "Pending....")),"")</f>
        <v/>
      </c>
      <c r="D73" s="23"/>
      <c r="E73" s="24"/>
      <c r="F73" s="25"/>
      <c r="G73" s="59"/>
      <c r="H73" s="24"/>
      <c r="J73" s="3"/>
    </row>
    <row r="74" spans="1:10" x14ac:dyDescent="0.25">
      <c r="A74" s="28"/>
      <c r="B74" s="21" t="str" cm="1">
        <f t="array" aca="1" ref="B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" s="22" t="str" cm="1">
        <f t="array" aca="1" ref="C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A74, "'!C:C")),"NOK"))&gt;0, "NOK", "Pending....")),"")</f>
        <v/>
      </c>
      <c r="D74" s="24"/>
      <c r="E74" s="24"/>
      <c r="F74" s="24"/>
      <c r="G74" s="59"/>
      <c r="H74" s="24"/>
      <c r="J74" s="3"/>
    </row>
    <row r="75" spans="1:10" x14ac:dyDescent="0.25">
      <c r="A75" s="28"/>
      <c r="B75" s="21" t="str" cm="1">
        <f t="array" aca="1" ref="B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" s="22" t="str" cm="1">
        <f t="array" aca="1" ref="C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A75, "'!C:C")),"NOK"))&gt;0, "NOK", "Pending....")),"")</f>
        <v/>
      </c>
      <c r="D75" s="24"/>
      <c r="E75" s="24"/>
      <c r="F75" s="24"/>
      <c r="G75" s="59"/>
      <c r="H75" s="24"/>
      <c r="J75" s="3"/>
    </row>
    <row r="76" spans="1:10" x14ac:dyDescent="0.25">
      <c r="A76" s="28"/>
      <c r="B76" s="21" t="str" cm="1">
        <f t="array" aca="1" ref="B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" s="22" t="str" cm="1">
        <f t="array" aca="1" ref="C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A76, "'!C:C")),"NOK"))&gt;0, "NOK", "Pending....")),"")</f>
        <v/>
      </c>
      <c r="D76" s="24"/>
      <c r="E76" s="24"/>
      <c r="F76" s="24"/>
      <c r="G76" s="59"/>
      <c r="H76" s="24"/>
      <c r="J76" s="3"/>
    </row>
    <row r="77" spans="1:10" x14ac:dyDescent="0.25">
      <c r="A77" s="28"/>
      <c r="B77" s="21" t="str" cm="1">
        <f t="array" aca="1" ref="B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" s="22" t="str" cm="1">
        <f t="array" aca="1" ref="C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A77, "'!C:C")),"NOK"))&gt;0, "NOK", "Pending....")),"")</f>
        <v/>
      </c>
      <c r="D77" s="24"/>
      <c r="E77" s="24"/>
      <c r="F77" s="24"/>
      <c r="G77" s="59"/>
      <c r="H77" s="24"/>
      <c r="J77" s="3"/>
    </row>
    <row r="78" spans="1:10" x14ac:dyDescent="0.25">
      <c r="A78" s="28"/>
      <c r="B78" s="21" t="str" cm="1">
        <f t="array" aca="1" ref="B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" s="22" t="str" cm="1">
        <f t="array" aca="1" ref="C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A78, "'!C:C")),"NOK"))&gt;0, "NOK", "Pending....")),"")</f>
        <v/>
      </c>
      <c r="D78" s="23"/>
      <c r="E78" s="24"/>
      <c r="F78" s="25"/>
      <c r="G78" s="59"/>
      <c r="H78" s="24"/>
      <c r="J78" s="3"/>
    </row>
    <row r="79" spans="1:10" x14ac:dyDescent="0.25">
      <c r="A79" s="28"/>
      <c r="B79" s="21" t="str" cm="1">
        <f t="array" aca="1" ref="B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" s="22" t="str" cm="1">
        <f t="array" aca="1" ref="C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A79, "'!C:C")),"NOK"))&gt;0, "NOK", "Pending....")),"")</f>
        <v/>
      </c>
      <c r="D79" s="23"/>
      <c r="E79" s="24"/>
      <c r="F79" s="25"/>
      <c r="G79" s="59"/>
      <c r="H79" s="24"/>
      <c r="J79" s="3"/>
    </row>
    <row r="80" spans="1:10" x14ac:dyDescent="0.25">
      <c r="A80" s="28"/>
      <c r="B80" s="21" t="str" cm="1">
        <f t="array" aca="1" ref="B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" s="22" t="str" cm="1">
        <f t="array" aca="1" ref="C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A80, "'!C:C")),"NOK"))&gt;0, "NOK", "Pending....")),"")</f>
        <v/>
      </c>
      <c r="D80" s="23"/>
      <c r="E80" s="24"/>
      <c r="F80" s="25"/>
      <c r="G80" s="59"/>
      <c r="H80" s="24"/>
      <c r="J80" s="3"/>
    </row>
    <row r="81" spans="1:8" x14ac:dyDescent="0.25">
      <c r="A81" s="28"/>
      <c r="B81" s="21" t="str" cm="1">
        <f t="array" aca="1" ref="B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" s="22" t="str" cm="1">
        <f t="array" aca="1" ref="C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A81, "'!C:C")),"NOK"))&gt;0, "NOK", "Pending....")),"")</f>
        <v/>
      </c>
      <c r="D81" s="23"/>
      <c r="E81" s="24"/>
      <c r="F81" s="25"/>
      <c r="G81" s="59"/>
      <c r="H81" s="24"/>
    </row>
    <row r="82" spans="1:8" x14ac:dyDescent="0.25">
      <c r="A82" s="28"/>
      <c r="B82" s="21" t="str" cm="1">
        <f t="array" aca="1" ref="B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" s="22" t="str" cm="1">
        <f t="array" aca="1" ref="C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A82, "'!C:C")),"NOK"))&gt;0, "NOK", "Pending....")),"")</f>
        <v/>
      </c>
      <c r="D82" s="23"/>
      <c r="E82" s="24"/>
      <c r="F82" s="25"/>
      <c r="G82" s="59"/>
      <c r="H82" s="24"/>
    </row>
    <row r="83" spans="1:8" x14ac:dyDescent="0.25">
      <c r="A83" s="28"/>
      <c r="B83" s="21" t="str" cm="1">
        <f t="array" aca="1" ref="B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" s="22" t="str" cm="1">
        <f t="array" aca="1" ref="C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A83, "'!C:C")),"NOK"))&gt;0, "NOK", "Pending....")),"")</f>
        <v/>
      </c>
      <c r="D83" s="23"/>
      <c r="E83" s="24"/>
      <c r="F83" s="25"/>
      <c r="G83" s="59"/>
      <c r="H83" s="24"/>
    </row>
    <row r="84" spans="1:8" x14ac:dyDescent="0.25">
      <c r="A84" s="28"/>
      <c r="B84" s="21" t="str" cm="1">
        <f t="array" aca="1" ref="B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" s="22" t="str" cm="1">
        <f t="array" aca="1" ref="C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A84, "'!C:C")),"NOK"))&gt;0, "NOK", "Pending....")),"")</f>
        <v/>
      </c>
      <c r="D84" s="23"/>
      <c r="E84" s="24"/>
      <c r="F84" s="25"/>
      <c r="G84" s="59"/>
      <c r="H84" s="24"/>
    </row>
    <row r="85" spans="1:8" x14ac:dyDescent="0.25">
      <c r="A85" s="28"/>
      <c r="B85" s="21" t="str" cm="1">
        <f t="array" aca="1" ref="B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" s="22" t="str" cm="1">
        <f t="array" aca="1" ref="C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A85, "'!C:C")),"NOK"))&gt;0, "NOK", "Pending....")),"")</f>
        <v/>
      </c>
      <c r="D85" s="23"/>
      <c r="E85" s="24"/>
      <c r="F85" s="25"/>
      <c r="G85" s="59"/>
      <c r="H85" s="24"/>
    </row>
    <row r="86" spans="1:8" x14ac:dyDescent="0.25">
      <c r="A86" s="28"/>
      <c r="B86" s="21" t="str" cm="1">
        <f t="array" aca="1" ref="B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" s="22" t="str" cm="1">
        <f t="array" aca="1" ref="C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A86, "'!C:C")),"NOK"))&gt;0, "NOK", "Pending....")),"")</f>
        <v/>
      </c>
      <c r="D86" s="23"/>
      <c r="E86" s="24"/>
      <c r="F86" s="25"/>
      <c r="G86" s="59"/>
      <c r="H86" s="24"/>
    </row>
    <row r="87" spans="1:8" x14ac:dyDescent="0.25">
      <c r="A87" s="28"/>
      <c r="B87" s="21" t="str" cm="1">
        <f t="array" aca="1" ref="B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" s="22" t="str" cm="1">
        <f t="array" aca="1" ref="C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A87, "'!C:C")),"NOK"))&gt;0, "NOK", "Pending....")),"")</f>
        <v/>
      </c>
      <c r="D87" s="23"/>
      <c r="E87" s="24"/>
      <c r="F87" s="25"/>
      <c r="G87" s="59"/>
      <c r="H87" s="24"/>
    </row>
    <row r="88" spans="1:8" x14ac:dyDescent="0.25">
      <c r="A88" s="28"/>
      <c r="B88" s="21" t="str" cm="1">
        <f t="array" aca="1" ref="B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" s="22" t="str" cm="1">
        <f t="array" aca="1" ref="C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A88, "'!C:C")),"NOK"))&gt;0, "NOK", "Pending....")),"")</f>
        <v/>
      </c>
      <c r="D88" s="23"/>
      <c r="E88" s="24"/>
      <c r="F88" s="25"/>
      <c r="G88" s="59"/>
      <c r="H88" s="24"/>
    </row>
    <row r="89" spans="1:8" x14ac:dyDescent="0.25">
      <c r="A89" s="28"/>
      <c r="B89" s="21" t="str" cm="1">
        <f t="array" aca="1" ref="B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" s="22" t="str" cm="1">
        <f t="array" aca="1" ref="C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A89, "'!C:C")),"NOK"))&gt;0, "NOK", "Pending....")),"")</f>
        <v/>
      </c>
      <c r="D89" s="23"/>
      <c r="E89" s="24"/>
      <c r="F89" s="25"/>
      <c r="G89" s="59"/>
      <c r="H89" s="24"/>
    </row>
    <row r="90" spans="1:8" x14ac:dyDescent="0.25">
      <c r="A90" s="28"/>
      <c r="B90" s="21" t="str" cm="1">
        <f t="array" aca="1" ref="B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" s="22" t="str" cm="1">
        <f t="array" aca="1" ref="C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A90, "'!C:C")),"NOK"))&gt;0, "NOK", "Pending....")),"")</f>
        <v/>
      </c>
      <c r="D90" s="23"/>
      <c r="E90" s="24"/>
      <c r="F90" s="25"/>
      <c r="G90" s="59"/>
      <c r="H90" s="24"/>
    </row>
    <row r="91" spans="1:8" x14ac:dyDescent="0.25">
      <c r="A91" s="28"/>
      <c r="B91" s="21" t="str" cm="1">
        <f t="array" aca="1" ref="B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" s="22" t="str" cm="1">
        <f t="array" aca="1" ref="C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A91, "'!C:C")),"NOK"))&gt;0, "NOK", "Pending....")),"")</f>
        <v/>
      </c>
      <c r="D91" s="23"/>
      <c r="E91" s="24"/>
      <c r="F91" s="25"/>
      <c r="G91" s="59"/>
      <c r="H91" s="24"/>
    </row>
    <row r="92" spans="1:8" x14ac:dyDescent="0.25">
      <c r="A92" s="28"/>
      <c r="B92" s="21" t="str" cm="1">
        <f t="array" aca="1" ref="B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" s="22" t="str" cm="1">
        <f t="array" aca="1" ref="C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A92, "'!C:C")),"NOK"))&gt;0, "NOK", "Pending....")),"")</f>
        <v/>
      </c>
      <c r="D92" s="23"/>
      <c r="E92" s="24"/>
      <c r="F92" s="25"/>
      <c r="G92" s="59"/>
      <c r="H92" s="24"/>
    </row>
    <row r="93" spans="1:8" x14ac:dyDescent="0.25">
      <c r="A93" s="28"/>
      <c r="B93" s="21" t="str" cm="1">
        <f t="array" aca="1" ref="B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" s="22" t="str" cm="1">
        <f t="array" aca="1" ref="C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A93, "'!C:C")),"NOK"))&gt;0, "NOK", "Pending....")),"")</f>
        <v/>
      </c>
      <c r="D93" s="23"/>
      <c r="E93" s="24"/>
      <c r="F93" s="25"/>
      <c r="G93" s="59"/>
      <c r="H93" s="24"/>
    </row>
    <row r="94" spans="1:8" x14ac:dyDescent="0.25">
      <c r="A94" s="28"/>
      <c r="B94" s="21" t="str" cm="1">
        <f t="array" aca="1" ref="B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" s="22" t="str" cm="1">
        <f t="array" aca="1" ref="C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A94, "'!C:C")),"NOK"))&gt;0, "NOK", "Pending....")),"")</f>
        <v/>
      </c>
      <c r="D94" s="23"/>
      <c r="E94" s="24"/>
      <c r="F94" s="25"/>
      <c r="G94" s="59"/>
      <c r="H94" s="24"/>
    </row>
    <row r="95" spans="1:8" x14ac:dyDescent="0.25">
      <c r="A95" s="28"/>
      <c r="B95" s="21" t="str" cm="1">
        <f t="array" aca="1" ref="B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" s="22" t="str" cm="1">
        <f t="array" aca="1" ref="C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A95, "'!C:C")),"NOK"))&gt;0, "NOK", "Pending....")),"")</f>
        <v/>
      </c>
      <c r="D95" s="23"/>
      <c r="E95" s="24"/>
      <c r="F95" s="24"/>
      <c r="G95" s="59"/>
      <c r="H95" s="24"/>
    </row>
    <row r="96" spans="1:8" x14ac:dyDescent="0.25">
      <c r="A96" s="28"/>
      <c r="B96" s="21" t="str" cm="1">
        <f t="array" aca="1" ref="B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" s="22" t="str" cm="1">
        <f t="array" aca="1" ref="C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A96, "'!C:C")),"NOK"))&gt;0, "NOK", "Pending....")),"")</f>
        <v/>
      </c>
      <c r="D96" s="23"/>
      <c r="E96" s="24"/>
      <c r="F96" s="25"/>
      <c r="G96" s="59"/>
      <c r="H96" s="24"/>
    </row>
    <row r="97" spans="1:8" x14ac:dyDescent="0.25">
      <c r="A97" s="28"/>
      <c r="B97" s="21" t="str" cm="1">
        <f t="array" aca="1" ref="B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" s="22" t="str" cm="1">
        <f t="array" aca="1" ref="C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A97, "'!C:C")),"NOK"))&gt;0, "NOK", "Pending....")),"")</f>
        <v/>
      </c>
      <c r="D97" s="23"/>
      <c r="E97" s="24"/>
      <c r="F97" s="24"/>
      <c r="G97" s="59"/>
      <c r="H97" s="24"/>
    </row>
    <row r="98" spans="1:8" x14ac:dyDescent="0.25">
      <c r="A98" s="28"/>
      <c r="B98" s="21" t="str" cm="1">
        <f t="array" aca="1" ref="B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" s="22" t="str" cm="1">
        <f t="array" aca="1" ref="C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A98, "'!C:C")),"NOK"))&gt;0, "NOK", "Pending....")),"")</f>
        <v/>
      </c>
      <c r="D98" s="23"/>
      <c r="E98" s="24"/>
      <c r="F98" s="25"/>
      <c r="G98" s="59"/>
      <c r="H98" s="24"/>
    </row>
    <row r="99" spans="1:8" x14ac:dyDescent="0.25">
      <c r="A99" s="28"/>
      <c r="B99" s="21" t="str" cm="1">
        <f t="array" aca="1" ref="B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" s="22" t="str" cm="1">
        <f t="array" aca="1" ref="C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A99, "'!C:C")),"NOK"))&gt;0, "NOK", "Pending....")),"")</f>
        <v/>
      </c>
      <c r="D99" s="23"/>
      <c r="E99" s="24"/>
      <c r="F99" s="24"/>
      <c r="G99" s="59"/>
      <c r="H99" s="24"/>
    </row>
    <row r="100" spans="1:8" x14ac:dyDescent="0.25">
      <c r="A100" s="28"/>
      <c r="B100" s="21" t="str" cm="1">
        <f t="array" aca="1" ref="B1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" s="22" t="str" cm="1">
        <f t="array" aca="1" ref="C1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A100, "'!C:C")),"NOK"))&gt;0, "NOK", "Pending....")),"")</f>
        <v/>
      </c>
      <c r="D100" s="23"/>
      <c r="E100" s="24"/>
      <c r="F100" s="24"/>
      <c r="G100" s="59"/>
      <c r="H100" s="24"/>
    </row>
    <row r="101" spans="1:8" x14ac:dyDescent="0.25">
      <c r="A101" s="28"/>
      <c r="B101" s="21" t="str" cm="1">
        <f t="array" aca="1" ref="B1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" s="22" t="str" cm="1">
        <f t="array" aca="1" ref="C1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A101, "'!C:C")),"NOK"))&gt;0, "NOK", "Pending....")),"")</f>
        <v/>
      </c>
      <c r="D101" s="23"/>
      <c r="E101" s="24"/>
      <c r="F101" s="24"/>
      <c r="G101" s="59"/>
      <c r="H101" s="24"/>
    </row>
    <row r="102" spans="1:8" x14ac:dyDescent="0.25">
      <c r="A102" s="28"/>
      <c r="B102" s="21" t="str" cm="1">
        <f t="array" aca="1" ref="B1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" s="22" t="str" cm="1">
        <f t="array" aca="1" ref="C1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A102, "'!C:C")),"NOK"))&gt;0, "NOK", "Pending....")),"")</f>
        <v/>
      </c>
      <c r="D102" s="23"/>
      <c r="E102" s="24"/>
      <c r="F102" s="24"/>
      <c r="G102" s="59"/>
      <c r="H102" s="24"/>
    </row>
    <row r="103" spans="1:8" x14ac:dyDescent="0.25">
      <c r="A103" s="28"/>
      <c r="B103" s="21" t="str" cm="1">
        <f t="array" aca="1" ref="B1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" s="22" t="str" cm="1">
        <f t="array" aca="1" ref="C1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A103, "'!C:C")),"NOK"))&gt;0, "NOK", "Pending....")),"")</f>
        <v/>
      </c>
      <c r="D103" s="24"/>
      <c r="E103" s="24"/>
      <c r="F103" s="24"/>
      <c r="G103" s="59"/>
      <c r="H103" s="24"/>
    </row>
    <row r="104" spans="1:8" x14ac:dyDescent="0.25">
      <c r="A104" s="28"/>
      <c r="B104" s="21" t="str" cm="1">
        <f t="array" aca="1" ref="B1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" s="22" t="str" cm="1">
        <f t="array" aca="1" ref="C1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A104, "'!C:C")),"NOK"))&gt;0, "NOK", "Pending....")),"")</f>
        <v/>
      </c>
      <c r="D104" s="24"/>
      <c r="E104" s="24"/>
      <c r="F104" s="24"/>
      <c r="G104" s="59"/>
      <c r="H104" s="24"/>
    </row>
    <row r="105" spans="1:8" x14ac:dyDescent="0.25">
      <c r="A105" s="28"/>
      <c r="B105" s="21" t="str" cm="1">
        <f t="array" aca="1" ref="B1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" s="22" t="str" cm="1">
        <f t="array" aca="1" ref="C1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A105, "'!C:C")),"NOK"))&gt;0, "NOK", "Pending....")),"")</f>
        <v/>
      </c>
      <c r="D105" s="23"/>
      <c r="E105" s="24"/>
      <c r="F105" s="24"/>
      <c r="G105" s="59"/>
      <c r="H105" s="24"/>
    </row>
    <row r="106" spans="1:8" x14ac:dyDescent="0.25">
      <c r="A106" s="28"/>
      <c r="B106" s="21" t="str" cm="1">
        <f t="array" aca="1" ref="B1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" s="22" t="str" cm="1">
        <f t="array" aca="1" ref="C1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A106, "'!C:C")),"NOK"))&gt;0, "NOK", "Pending....")),"")</f>
        <v/>
      </c>
      <c r="D106" s="23"/>
      <c r="E106" s="24"/>
      <c r="F106" s="24"/>
      <c r="G106" s="59"/>
      <c r="H106" s="24"/>
    </row>
    <row r="107" spans="1:8" x14ac:dyDescent="0.25">
      <c r="A107" s="28"/>
      <c r="B107" s="21" t="str" cm="1">
        <f t="array" aca="1" ref="B1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" s="22" t="str" cm="1">
        <f t="array" aca="1" ref="C1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A107, "'!C:C")),"NOK"))&gt;0, "NOK", "Pending....")),"")</f>
        <v/>
      </c>
      <c r="D107" s="23"/>
      <c r="E107" s="24"/>
      <c r="F107" s="24"/>
      <c r="G107" s="59"/>
      <c r="H107" s="24"/>
    </row>
    <row r="108" spans="1:8" x14ac:dyDescent="0.25">
      <c r="A108" s="28"/>
      <c r="B108" s="21" t="str" cm="1">
        <f t="array" aca="1" ref="B1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" s="22" t="str" cm="1">
        <f t="array" aca="1" ref="C1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A108, "'!C:C")),"NOK"))&gt;0, "NOK", "Pending....")),"")</f>
        <v/>
      </c>
      <c r="D108" s="23"/>
      <c r="E108" s="24"/>
      <c r="F108" s="24"/>
      <c r="G108" s="59"/>
      <c r="H108" s="24"/>
    </row>
    <row r="109" spans="1:8" x14ac:dyDescent="0.25">
      <c r="A109" s="28"/>
      <c r="B109" s="21" t="str" cm="1">
        <f t="array" aca="1" ref="B1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" s="22" t="str" cm="1">
        <f t="array" aca="1" ref="C1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A109, "'!C:C")),"NOK"))&gt;0, "NOK", "Pending....")),"")</f>
        <v/>
      </c>
      <c r="D109" s="23"/>
      <c r="E109" s="24"/>
      <c r="F109" s="24"/>
      <c r="G109" s="59"/>
      <c r="H109" s="24"/>
    </row>
    <row r="110" spans="1:8" x14ac:dyDescent="0.25">
      <c r="A110" s="28"/>
      <c r="B110" s="21" t="str" cm="1">
        <f t="array" aca="1" ref="B1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" s="22" t="str" cm="1">
        <f t="array" aca="1" ref="C1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A110, "'!C:C")),"NOK"))&gt;0, "NOK", "Pending....")),"")</f>
        <v/>
      </c>
      <c r="D110" s="23"/>
      <c r="E110" s="24"/>
      <c r="F110" s="24"/>
      <c r="G110" s="59"/>
      <c r="H110" s="24"/>
    </row>
    <row r="111" spans="1:8" x14ac:dyDescent="0.25">
      <c r="A111" s="28"/>
      <c r="B111" s="21" t="str" cm="1">
        <f t="array" aca="1" ref="B1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" s="22" t="str" cm="1">
        <f t="array" aca="1" ref="C1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A111, "'!C:C")),"NOK"))&gt;0, "NOK", "Pending....")),"")</f>
        <v/>
      </c>
      <c r="D111" s="23"/>
      <c r="E111" s="24"/>
      <c r="F111" s="25"/>
      <c r="G111" s="59"/>
      <c r="H111" s="24"/>
    </row>
    <row r="112" spans="1:8" x14ac:dyDescent="0.25">
      <c r="A112" s="28"/>
      <c r="B112" s="21" t="str" cm="1">
        <f t="array" aca="1" ref="B1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" s="22" t="str" cm="1">
        <f t="array" aca="1" ref="C1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A112, "'!C:C")),"NOK"))&gt;0, "NOK", "Pending....")),"")</f>
        <v/>
      </c>
      <c r="D112" s="23"/>
      <c r="E112" s="24"/>
      <c r="F112" s="25"/>
      <c r="G112" s="59"/>
      <c r="H112" s="24"/>
    </row>
    <row r="113" spans="1:8" x14ac:dyDescent="0.25">
      <c r="A113" s="28"/>
      <c r="B113" s="21" t="str" cm="1">
        <f t="array" aca="1" ref="B1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" s="22" t="str" cm="1">
        <f t="array" aca="1" ref="C1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A113, "'!C:C")),"NOK"))&gt;0, "NOK", "Pending....")),"")</f>
        <v/>
      </c>
      <c r="D113" s="23"/>
      <c r="E113" s="24"/>
      <c r="F113" s="25"/>
      <c r="G113" s="59"/>
      <c r="H113" s="24"/>
    </row>
    <row r="114" spans="1:8" x14ac:dyDescent="0.25">
      <c r="A114" s="28"/>
      <c r="B114" s="21" t="str" cm="1">
        <f t="array" aca="1" ref="B1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" s="22" t="str" cm="1">
        <f t="array" aca="1" ref="C1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A114, "'!C:C")),"NOK"))&gt;0, "NOK", "Pending....")),"")</f>
        <v/>
      </c>
      <c r="D114" s="23"/>
      <c r="E114" s="24"/>
      <c r="F114" s="25"/>
      <c r="G114" s="59"/>
      <c r="H114" s="24"/>
    </row>
    <row r="115" spans="1:8" x14ac:dyDescent="0.25">
      <c r="A115" s="28"/>
      <c r="B115" s="21" t="str" cm="1">
        <f t="array" aca="1" ref="B1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" s="22" t="str" cm="1">
        <f t="array" aca="1" ref="C1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A115, "'!C:C")),"NOK"))&gt;0, "NOK", "Pending....")),"")</f>
        <v/>
      </c>
      <c r="D115" s="23"/>
      <c r="E115" s="24"/>
      <c r="F115" s="25"/>
      <c r="G115" s="59"/>
      <c r="H115" s="24"/>
    </row>
    <row r="116" spans="1:8" x14ac:dyDescent="0.25">
      <c r="A116" s="28"/>
      <c r="B116" s="21" t="str" cm="1">
        <f t="array" aca="1" ref="B1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" s="22" t="str" cm="1">
        <f t="array" aca="1" ref="C1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A116, "'!C:C")),"NOK"))&gt;0, "NOK", "Pending....")),"")</f>
        <v/>
      </c>
      <c r="D116" s="23"/>
      <c r="E116" s="24"/>
      <c r="F116" s="24"/>
      <c r="G116" s="59"/>
      <c r="H116" s="24"/>
    </row>
    <row r="117" spans="1:8" x14ac:dyDescent="0.25">
      <c r="A117" s="28"/>
      <c r="B117" s="21" t="str" cm="1">
        <f t="array" aca="1" ref="B1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" s="22" t="str" cm="1">
        <f t="array" aca="1" ref="C1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A117, "'!C:C")),"NOK"))&gt;0, "NOK", "Pending....")),"")</f>
        <v/>
      </c>
      <c r="D117" s="23"/>
      <c r="E117" s="24"/>
      <c r="F117" s="25"/>
      <c r="G117" s="59"/>
      <c r="H117" s="24"/>
    </row>
    <row r="118" spans="1:8" x14ac:dyDescent="0.25">
      <c r="A118" s="28"/>
      <c r="B118" s="21" t="str" cm="1">
        <f t="array" aca="1" ref="B1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" s="22" t="str" cm="1">
        <f t="array" aca="1" ref="C1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A118, "'!C:C")),"NOK"))&gt;0, "NOK", "Pending....")),"")</f>
        <v/>
      </c>
      <c r="D118" s="23"/>
      <c r="E118" s="24"/>
      <c r="F118" s="25"/>
      <c r="G118" s="59"/>
      <c r="H118" s="24"/>
    </row>
    <row r="119" spans="1:8" x14ac:dyDescent="0.25">
      <c r="A119" s="28"/>
      <c r="B119" s="21" t="str" cm="1">
        <f t="array" aca="1" ref="B1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" s="22" t="str" cm="1">
        <f t="array" aca="1" ref="C1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A119, "'!C:C")),"NOK"))&gt;0, "NOK", "Pending....")),"")</f>
        <v/>
      </c>
      <c r="D119" s="23"/>
      <c r="E119" s="24"/>
      <c r="F119" s="25"/>
      <c r="G119" s="59"/>
      <c r="H119" s="24"/>
    </row>
    <row r="120" spans="1:8" x14ac:dyDescent="0.25">
      <c r="A120" s="28"/>
      <c r="B120" s="21" t="str" cm="1">
        <f t="array" aca="1" ref="B1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" s="22" t="str" cm="1">
        <f t="array" aca="1" ref="C1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A120, "'!C:C")),"NOK"))&gt;0, "NOK", "Pending....")),"")</f>
        <v/>
      </c>
      <c r="D120" s="23"/>
      <c r="E120" s="24"/>
      <c r="F120" s="25"/>
      <c r="G120" s="59"/>
      <c r="H120" s="24"/>
    </row>
    <row r="121" spans="1:8" x14ac:dyDescent="0.25">
      <c r="A121" s="28"/>
      <c r="B121" s="21" t="str" cm="1">
        <f t="array" aca="1" ref="B1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" s="22" t="str" cm="1">
        <f t="array" aca="1" ref="C1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A121, "'!C:C")),"NOK"))&gt;0, "NOK", "Pending....")),"")</f>
        <v/>
      </c>
      <c r="D121" s="23"/>
      <c r="E121" s="24"/>
      <c r="F121" s="25"/>
      <c r="G121" s="59"/>
      <c r="H121" s="24"/>
    </row>
    <row r="122" spans="1:8" x14ac:dyDescent="0.25">
      <c r="A122" s="28"/>
      <c r="B122" s="21" t="str" cm="1">
        <f t="array" aca="1" ref="B1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" s="22" t="str" cm="1">
        <f t="array" aca="1" ref="C1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A122, "'!C:C")),"NOK"))&gt;0, "NOK", "Pending....")),"")</f>
        <v/>
      </c>
      <c r="D122" s="23"/>
      <c r="E122" s="24"/>
      <c r="F122" s="24"/>
      <c r="G122" s="59"/>
      <c r="H122" s="24"/>
    </row>
    <row r="123" spans="1:8" x14ac:dyDescent="0.25">
      <c r="A123" s="28"/>
      <c r="B123" s="21" t="str" cm="1">
        <f t="array" aca="1" ref="B1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" s="22" t="str" cm="1">
        <f t="array" aca="1" ref="C1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A123, "'!C:C")),"NOK"))&gt;0, "NOK", "Pending....")),"")</f>
        <v/>
      </c>
      <c r="D123" s="23"/>
      <c r="E123" s="24"/>
      <c r="F123" s="25"/>
      <c r="G123" s="59"/>
      <c r="H123" s="24"/>
    </row>
    <row r="124" spans="1:8" x14ac:dyDescent="0.25">
      <c r="A124" s="28"/>
      <c r="B124" s="21" t="str" cm="1">
        <f t="array" aca="1" ref="B1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" s="22" t="str" cm="1">
        <f t="array" aca="1" ref="C1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A124, "'!C:C")),"NOK"))&gt;0, "NOK", "Pending....")),"")</f>
        <v/>
      </c>
      <c r="D124" s="23"/>
      <c r="E124" s="24"/>
      <c r="F124" s="25"/>
      <c r="G124" s="59"/>
      <c r="H124" s="24"/>
    </row>
    <row r="125" spans="1:8" x14ac:dyDescent="0.25">
      <c r="A125" s="28"/>
      <c r="B125" s="21" t="str" cm="1">
        <f t="array" aca="1" ref="B1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" s="22" t="str" cm="1">
        <f t="array" aca="1" ref="C1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A125, "'!C:C")),"NOK"))&gt;0, "NOK", "Pending....")),"")</f>
        <v/>
      </c>
      <c r="D125" s="23"/>
      <c r="E125" s="24"/>
      <c r="F125" s="25"/>
      <c r="G125" s="59"/>
      <c r="H125" s="24"/>
    </row>
    <row r="126" spans="1:8" x14ac:dyDescent="0.25">
      <c r="A126" s="28"/>
      <c r="B126" s="21" t="str" cm="1">
        <f t="array" aca="1" ref="B1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" s="22" t="str" cm="1">
        <f t="array" aca="1" ref="C1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A126, "'!C:C")),"NOK"))&gt;0, "NOK", "Pending....")),"")</f>
        <v/>
      </c>
      <c r="D126" s="23"/>
      <c r="E126" s="24"/>
      <c r="F126" s="25"/>
      <c r="G126" s="59"/>
      <c r="H126" s="24"/>
    </row>
    <row r="127" spans="1:8" x14ac:dyDescent="0.25">
      <c r="A127" s="28"/>
      <c r="B127" s="21" t="str" cm="1">
        <f t="array" aca="1" ref="B1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" s="22" t="str" cm="1">
        <f t="array" aca="1" ref="C1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A127, "'!C:C")),"NOK"))&gt;0, "NOK", "Pending....")),"")</f>
        <v/>
      </c>
      <c r="D127" s="23"/>
      <c r="E127" s="24"/>
      <c r="F127" s="25"/>
      <c r="G127" s="59"/>
      <c r="H127" s="24"/>
    </row>
    <row r="128" spans="1:8" x14ac:dyDescent="0.25">
      <c r="A128" s="28"/>
      <c r="B128" s="21" t="str" cm="1">
        <f t="array" aca="1" ref="B1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" s="22" t="str" cm="1">
        <f t="array" aca="1" ref="C1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A128, "'!C:C")),"NOK"))&gt;0, "NOK", "Pending....")),"")</f>
        <v/>
      </c>
      <c r="D128" s="23"/>
      <c r="E128" s="24"/>
      <c r="F128" s="25"/>
      <c r="G128" s="59"/>
      <c r="H128" s="24"/>
    </row>
    <row r="129" spans="1:8" x14ac:dyDescent="0.25">
      <c r="A129" s="28"/>
      <c r="B129" s="21" t="str" cm="1">
        <f t="array" aca="1" ref="B1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" s="22" t="str" cm="1">
        <f t="array" aca="1" ref="C1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A129, "'!C:C")),"NOK"))&gt;0, "NOK", "Pending....")),"")</f>
        <v/>
      </c>
      <c r="D129" s="23"/>
      <c r="E129" s="24"/>
      <c r="F129" s="25"/>
      <c r="G129" s="59"/>
      <c r="H129" s="24"/>
    </row>
    <row r="130" spans="1:8" x14ac:dyDescent="0.25">
      <c r="A130" s="28"/>
      <c r="B130" s="21" t="str" cm="1">
        <f t="array" aca="1" ref="B1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" s="22" t="str" cm="1">
        <f t="array" aca="1" ref="C1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A130, "'!C:C")),"NOK"))&gt;0, "NOK", "Pending....")),"")</f>
        <v/>
      </c>
      <c r="D130" s="23"/>
      <c r="E130" s="24"/>
      <c r="F130" s="25"/>
      <c r="G130" s="59"/>
      <c r="H130" s="24"/>
    </row>
    <row r="131" spans="1:8" x14ac:dyDescent="0.25">
      <c r="A131" s="28"/>
      <c r="B131" s="21" t="str" cm="1">
        <f t="array" aca="1" ref="B1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" s="22" t="str" cm="1">
        <f t="array" aca="1" ref="C1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A131, "'!C:C")),"NOK"))&gt;0, "NOK", "Pending....")),"")</f>
        <v/>
      </c>
      <c r="D131" s="23"/>
      <c r="E131" s="24"/>
      <c r="F131" s="24"/>
      <c r="G131" s="59"/>
      <c r="H131" s="24"/>
    </row>
    <row r="132" spans="1:8" x14ac:dyDescent="0.25">
      <c r="A132" s="28"/>
      <c r="B132" s="21" t="str" cm="1">
        <f t="array" aca="1" ref="B1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" s="22" t="str" cm="1">
        <f t="array" aca="1" ref="C1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A132, "'!C:C")),"NOK"))&gt;0, "NOK", "Pending....")),"")</f>
        <v/>
      </c>
      <c r="D132" s="23"/>
      <c r="E132" s="24"/>
      <c r="F132" s="24"/>
      <c r="G132" s="59"/>
      <c r="H132" s="24"/>
    </row>
    <row r="133" spans="1:8" x14ac:dyDescent="0.25">
      <c r="A133" s="28"/>
      <c r="B133" s="21" t="str" cm="1">
        <f t="array" aca="1" ref="B1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" s="22" t="str" cm="1">
        <f t="array" aca="1" ref="C1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A133, "'!C:C")),"NOK"))&gt;0, "NOK", "Pending....")),"")</f>
        <v/>
      </c>
      <c r="D133" s="23"/>
      <c r="E133" s="24"/>
      <c r="F133" s="24"/>
      <c r="G133" s="59"/>
      <c r="H133" s="24"/>
    </row>
    <row r="134" spans="1:8" x14ac:dyDescent="0.25">
      <c r="A134" s="28"/>
      <c r="B134" s="21" t="str" cm="1">
        <f t="array" aca="1" ref="B1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" s="22" t="str" cm="1">
        <f t="array" aca="1" ref="C1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A134, "'!C:C")),"NOK"))&gt;0, "NOK", "Pending....")),"")</f>
        <v/>
      </c>
      <c r="D134" s="23"/>
      <c r="E134" s="24"/>
      <c r="F134" s="24"/>
      <c r="G134" s="59"/>
      <c r="H134" s="24"/>
    </row>
    <row r="135" spans="1:8" x14ac:dyDescent="0.25">
      <c r="A135" s="28"/>
      <c r="B135" s="21" t="str" cm="1">
        <f t="array" aca="1" ref="B1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" s="22" t="str" cm="1">
        <f t="array" aca="1" ref="C1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A135, "'!C:C")),"NOK"))&gt;0, "NOK", "Pending....")),"")</f>
        <v/>
      </c>
      <c r="D135" s="23"/>
      <c r="E135" s="24"/>
      <c r="F135" s="25"/>
      <c r="G135" s="59"/>
      <c r="H135" s="24"/>
    </row>
    <row r="136" spans="1:8" x14ac:dyDescent="0.25">
      <c r="A136" s="28"/>
      <c r="B136" s="21" t="str" cm="1">
        <f t="array" aca="1" ref="B1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" s="22" t="str" cm="1">
        <f t="array" aca="1" ref="C1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A136, "'!C:C")),"NOK"))&gt;0, "NOK", "Pending....")),"")</f>
        <v/>
      </c>
      <c r="D136" s="23"/>
      <c r="E136" s="24"/>
      <c r="F136" s="25"/>
      <c r="G136" s="59"/>
      <c r="H136" s="24"/>
    </row>
    <row r="137" spans="1:8" x14ac:dyDescent="0.25">
      <c r="A137" s="28"/>
      <c r="B137" s="21" t="str" cm="1">
        <f t="array" aca="1" ref="B1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" s="22" t="str" cm="1">
        <f t="array" aca="1" ref="C1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A137, "'!C:C")),"NOK"))&gt;0, "NOK", "Pending....")),"")</f>
        <v/>
      </c>
      <c r="D137" s="23"/>
      <c r="E137" s="24"/>
      <c r="F137" s="25"/>
      <c r="G137" s="59"/>
      <c r="H137" s="24"/>
    </row>
    <row r="138" spans="1:8" x14ac:dyDescent="0.25">
      <c r="A138" s="28"/>
      <c r="B138" s="21" t="str" cm="1">
        <f t="array" aca="1" ref="B1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" s="22" t="str" cm="1">
        <f t="array" aca="1" ref="C1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A138, "'!C:C")),"NOK"))&gt;0, "NOK", "Pending....")),"")</f>
        <v/>
      </c>
      <c r="D138" s="23"/>
      <c r="E138" s="24"/>
      <c r="F138" s="25"/>
      <c r="G138" s="59"/>
      <c r="H138" s="24"/>
    </row>
    <row r="139" spans="1:8" x14ac:dyDescent="0.25">
      <c r="A139" s="28"/>
      <c r="B139" s="21" t="str" cm="1">
        <f t="array" aca="1" ref="B1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" s="22" t="str" cm="1">
        <f t="array" aca="1" ref="C1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A139, "'!C:C")),"NOK"))&gt;0, "NOK", "Pending....")),"")</f>
        <v/>
      </c>
      <c r="D139" s="23"/>
      <c r="E139" s="24"/>
      <c r="F139" s="25"/>
      <c r="G139" s="59"/>
      <c r="H139" s="24"/>
    </row>
    <row r="140" spans="1:8" x14ac:dyDescent="0.25">
      <c r="A140" s="37"/>
      <c r="B140" s="21" t="str" cm="1">
        <f t="array" aca="1" ref="B1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" s="22" t="str" cm="1">
        <f t="array" aca="1" ref="C1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A140, "'!C:C")),"NOK"))&gt;0, "NOK", "Pending....")),"")</f>
        <v/>
      </c>
      <c r="D140" s="24"/>
      <c r="E140" s="24"/>
      <c r="F140" s="24"/>
      <c r="G140" s="60"/>
      <c r="H140" s="51"/>
    </row>
    <row r="141" spans="1:8" x14ac:dyDescent="0.25">
      <c r="A141" s="28"/>
      <c r="B141" s="21" t="str" cm="1">
        <f t="array" aca="1" ref="B1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" s="22" t="str" cm="1">
        <f t="array" aca="1" ref="C1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A141, "'!C:C")),"NOK"))&gt;0, "NOK", "Pending....")),"")</f>
        <v/>
      </c>
      <c r="D141" s="23"/>
      <c r="E141" s="24"/>
      <c r="F141" s="25"/>
      <c r="G141" s="59"/>
      <c r="H141" s="24"/>
    </row>
    <row r="142" spans="1:8" x14ac:dyDescent="0.25">
      <c r="A142" s="28"/>
      <c r="B142" s="21" t="str" cm="1">
        <f t="array" aca="1" ref="B1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" s="22" t="str" cm="1">
        <f t="array" aca="1" ref="C1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A142, "'!C:C")),"NOK"))&gt;0, "NOK", "Pending....")),"")</f>
        <v/>
      </c>
      <c r="D142" s="23"/>
      <c r="E142" s="24"/>
      <c r="F142" s="25"/>
      <c r="G142" s="59"/>
      <c r="H142" s="24"/>
    </row>
    <row r="143" spans="1:8" x14ac:dyDescent="0.25">
      <c r="A143" s="28"/>
      <c r="B143" s="21" t="str" cm="1">
        <f t="array" aca="1" ref="B1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" s="22" t="str" cm="1">
        <f t="array" aca="1" ref="C1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A143, "'!C:C")),"NOK"))&gt;0, "NOK", "Pending....")),"")</f>
        <v/>
      </c>
      <c r="D143" s="24"/>
      <c r="E143" s="24"/>
      <c r="F143" s="24"/>
      <c r="G143" s="59"/>
      <c r="H143" s="24"/>
    </row>
    <row r="144" spans="1:8" x14ac:dyDescent="0.25">
      <c r="A144" s="28"/>
      <c r="B144" s="21" t="str" cm="1">
        <f t="array" aca="1" ref="B1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" s="22" t="str" cm="1">
        <f t="array" aca="1" ref="C1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A144, "'!C:C")),"NOK"))&gt;0, "NOK", "Pending....")),"")</f>
        <v/>
      </c>
      <c r="D144" s="24"/>
      <c r="E144" s="24"/>
      <c r="F144" s="24"/>
      <c r="G144" s="59"/>
      <c r="H144" s="24"/>
    </row>
    <row r="145" spans="1:8" x14ac:dyDescent="0.25">
      <c r="A145" s="37"/>
      <c r="B145" s="21" t="str" cm="1">
        <f t="array" aca="1" ref="B1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" s="22" t="str" cm="1">
        <f t="array" aca="1" ref="C1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A145, "'!C:C")),"NOK"))&gt;0, "NOK", "Pending....")),"")</f>
        <v/>
      </c>
      <c r="D145" s="24"/>
      <c r="E145" s="24"/>
      <c r="F145" s="24"/>
      <c r="G145" s="60"/>
      <c r="H145" s="51"/>
    </row>
    <row r="146" spans="1:8" x14ac:dyDescent="0.25">
      <c r="B146" s="21" t="str" cm="1">
        <f t="array" aca="1" ref="B1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" s="22" t="str" cm="1">
        <f t="array" aca="1" ref="C1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A146, "'!C:C")),"NOK"))&gt;0, "NOK", "Pending....")),"")</f>
        <v/>
      </c>
      <c r="D146" s="24"/>
      <c r="E146" s="24"/>
      <c r="F146" s="24"/>
      <c r="G146" s="29"/>
      <c r="H146" s="24"/>
    </row>
    <row r="147" spans="1:8" x14ac:dyDescent="0.25">
      <c r="A147" s="28"/>
      <c r="B147" s="21" t="str" cm="1">
        <f t="array" aca="1" ref="B1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" s="22" t="str" cm="1">
        <f t="array" aca="1" ref="C1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A147, "'!C:C")),"NOK"))&gt;0, "NOK", "Pending....")),"")</f>
        <v/>
      </c>
      <c r="D147" s="24"/>
      <c r="E147" s="24"/>
      <c r="F147" s="24"/>
      <c r="G147" s="59"/>
      <c r="H147" s="24"/>
    </row>
    <row r="148" spans="1:8" x14ac:dyDescent="0.25">
      <c r="A148" s="28"/>
      <c r="B148" s="21" t="str" cm="1">
        <f t="array" aca="1" ref="B1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" s="22" t="str" cm="1">
        <f t="array" aca="1" ref="C1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A148, "'!C:C")),"NOK"))&gt;0, "NOK", "Pending....")),"")</f>
        <v/>
      </c>
      <c r="D148" s="24"/>
      <c r="E148" s="24"/>
      <c r="F148" s="24"/>
      <c r="G148" s="59"/>
      <c r="H148" s="24"/>
    </row>
    <row r="149" spans="1:8" x14ac:dyDescent="0.25">
      <c r="A149" s="28"/>
      <c r="B149" s="21" t="str" cm="1">
        <f t="array" aca="1" ref="B1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" s="22" t="str" cm="1">
        <f t="array" aca="1" ref="C1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A149, "'!C:C")),"NOK"))&gt;0, "NOK", "Pending....")),"")</f>
        <v/>
      </c>
      <c r="D149" s="23"/>
      <c r="E149" s="24"/>
      <c r="F149" s="25"/>
      <c r="G149" s="59"/>
      <c r="H149" s="55"/>
    </row>
    <row r="150" spans="1:8" x14ac:dyDescent="0.25">
      <c r="A150" s="28"/>
      <c r="B150" s="21" t="str" cm="1">
        <f t="array" aca="1" ref="B1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" s="22" t="str" cm="1">
        <f t="array" aca="1" ref="C1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A150, "'!C:C")),"NOK"))&gt;0, "NOK", "Pending....")),"")</f>
        <v/>
      </c>
      <c r="D150" s="23"/>
      <c r="E150" s="24"/>
      <c r="F150" s="25"/>
      <c r="G150" s="59"/>
      <c r="H150" s="24"/>
    </row>
    <row r="151" spans="1:8" x14ac:dyDescent="0.25">
      <c r="A151" s="28"/>
      <c r="B151" s="21" t="str" cm="1">
        <f t="array" aca="1" ref="B1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" s="22" t="str" cm="1">
        <f t="array" aca="1" ref="C1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A151, "'!C:C")),"NOK"))&gt;0, "NOK", "Pending....")),"")</f>
        <v/>
      </c>
      <c r="D151" s="24"/>
      <c r="E151" s="24"/>
      <c r="F151" s="24"/>
      <c r="G151" s="59"/>
      <c r="H151" s="24"/>
    </row>
    <row r="152" spans="1:8" x14ac:dyDescent="0.25">
      <c r="A152" s="28"/>
      <c r="B152" s="21" t="str" cm="1">
        <f t="array" aca="1" ref="B1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" s="22" t="str" cm="1">
        <f t="array" aca="1" ref="C1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A152, "'!C:C")),"NOK"))&gt;0, "NOK", "Pending....")),"")</f>
        <v/>
      </c>
      <c r="D152" s="23"/>
      <c r="E152" s="24"/>
      <c r="F152" s="25"/>
      <c r="G152" s="59"/>
      <c r="H152" s="24"/>
    </row>
    <row r="153" spans="1:8" x14ac:dyDescent="0.25">
      <c r="A153" s="28"/>
      <c r="B153" s="21" t="str" cm="1">
        <f t="array" aca="1" ref="B1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" s="22" t="str" cm="1">
        <f t="array" aca="1" ref="C1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A153, "'!C:C")),"NOK"))&gt;0, "NOK", "Pending....")),"")</f>
        <v/>
      </c>
      <c r="D153" s="24"/>
      <c r="E153" s="24"/>
      <c r="F153" s="24"/>
      <c r="G153" s="59"/>
      <c r="H153" s="24"/>
    </row>
    <row r="154" spans="1:8" x14ac:dyDescent="0.25">
      <c r="A154" s="28"/>
      <c r="B154" s="21" t="str" cm="1">
        <f t="array" aca="1" ref="B1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" s="22" t="str" cm="1">
        <f t="array" aca="1" ref="C1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A154, "'!C:C")),"NOK"))&gt;0, "NOK", "Pending....")),"")</f>
        <v/>
      </c>
      <c r="D154" s="24"/>
      <c r="E154" s="24"/>
      <c r="F154" s="24"/>
      <c r="G154" s="59"/>
      <c r="H154" s="24"/>
    </row>
    <row r="155" spans="1:8" x14ac:dyDescent="0.25">
      <c r="A155" s="28"/>
      <c r="B155" s="21" t="str" cm="1">
        <f t="array" aca="1" ref="B1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" s="22" t="str" cm="1">
        <f t="array" aca="1" ref="C1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A155, "'!C:C")),"NOK"))&gt;0, "NOK", "Pending....")),"")</f>
        <v/>
      </c>
      <c r="D155" s="24"/>
      <c r="E155" s="24"/>
      <c r="F155" s="24"/>
      <c r="G155" s="59"/>
      <c r="H155" s="24"/>
    </row>
    <row r="156" spans="1:8" x14ac:dyDescent="0.25">
      <c r="B156" s="21" t="str" cm="1">
        <f t="array" aca="1" ref="B1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" s="22" t="str" cm="1">
        <f t="array" aca="1" ref="C1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A156, "'!C:C")),"NOK"))&gt;0, "NOK", "Pending....")),"")</f>
        <v/>
      </c>
      <c r="D156" s="24"/>
      <c r="E156" s="24"/>
      <c r="F156" s="24"/>
      <c r="G156" s="29"/>
      <c r="H156" s="24"/>
    </row>
    <row r="157" spans="1:8" x14ac:dyDescent="0.25">
      <c r="A157" s="28"/>
      <c r="B157" s="21" t="str" cm="1">
        <f t="array" aca="1" ref="B1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" s="22" t="str" cm="1">
        <f t="array" aca="1" ref="C1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A157, "'!C:C")),"NOK"))&gt;0, "NOK", "Pending....")),"")</f>
        <v/>
      </c>
      <c r="D157" s="24"/>
      <c r="E157" s="24"/>
      <c r="F157" s="24"/>
      <c r="G157" s="59"/>
      <c r="H157" s="24"/>
    </row>
    <row r="158" spans="1:8" x14ac:dyDescent="0.25">
      <c r="B158" s="21" t="str" cm="1">
        <f t="array" aca="1" ref="B1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" s="22" t="str" cm="1">
        <f t="array" aca="1" ref="C1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A158, "'!C:C")),"NOK"))&gt;0, "NOK", "Pending....")),"")</f>
        <v/>
      </c>
      <c r="D158" s="24"/>
      <c r="E158" s="24"/>
      <c r="F158" s="24"/>
      <c r="G158" s="29"/>
      <c r="H158" s="24"/>
    </row>
    <row r="159" spans="1:8" x14ac:dyDescent="0.25">
      <c r="B159" s="21" t="str" cm="1">
        <f t="array" aca="1" ref="B1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" s="22" t="str" cm="1">
        <f t="array" aca="1" ref="C1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A159, "'!C:C")),"NOK"))&gt;0, "NOK", "Pending....")),"")</f>
        <v/>
      </c>
      <c r="D159" s="24"/>
      <c r="E159" s="24"/>
      <c r="F159" s="24"/>
      <c r="G159" s="29"/>
      <c r="H159" s="24"/>
    </row>
    <row r="160" spans="1:8" x14ac:dyDescent="0.25">
      <c r="B160" s="21" t="str" cm="1">
        <f t="array" aca="1" ref="B1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" s="22" t="str" cm="1">
        <f t="array" aca="1" ref="C1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A160, "'!C:C")),"NOK"))&gt;0, "NOK", "Pending....")),"")</f>
        <v/>
      </c>
      <c r="D160" s="24"/>
      <c r="E160" s="24"/>
      <c r="F160" s="24"/>
      <c r="G160" s="29"/>
      <c r="H160" s="24"/>
    </row>
    <row r="161" spans="1:8" x14ac:dyDescent="0.25">
      <c r="B161" s="21" t="str" cm="1">
        <f t="array" aca="1" ref="B1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" s="22" t="str" cm="1">
        <f t="array" aca="1" ref="C1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A161, "'!C:C")),"NOK"))&gt;0, "NOK", "Pending....")),"")</f>
        <v/>
      </c>
      <c r="D161" s="24"/>
      <c r="E161" s="24"/>
      <c r="F161" s="24"/>
      <c r="G161" s="29"/>
      <c r="H161" s="24"/>
    </row>
    <row r="162" spans="1:8" x14ac:dyDescent="0.25">
      <c r="B162" s="21" t="str" cm="1">
        <f t="array" aca="1" ref="B1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" s="22" t="str" cm="1">
        <f t="array" aca="1" ref="C1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A162, "'!C:C")),"NOK"))&gt;0, "NOK", "Pending....")),"")</f>
        <v/>
      </c>
      <c r="D162" s="24"/>
      <c r="E162" s="24"/>
      <c r="F162" s="24"/>
      <c r="G162" s="29"/>
      <c r="H162" s="24"/>
    </row>
    <row r="163" spans="1:8" x14ac:dyDescent="0.25">
      <c r="B163" s="21" t="str" cm="1">
        <f t="array" aca="1" ref="B1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" s="22" t="str" cm="1">
        <f t="array" aca="1" ref="C1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A163, "'!C:C")),"NOK"))&gt;0, "NOK", "Pending....")),"")</f>
        <v/>
      </c>
      <c r="D163" s="24"/>
      <c r="E163" s="24"/>
      <c r="F163" s="24"/>
      <c r="G163" s="29"/>
      <c r="H163" s="24"/>
    </row>
    <row r="164" spans="1:8" x14ac:dyDescent="0.25">
      <c r="B164" s="21" t="str" cm="1">
        <f t="array" aca="1" ref="B1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" s="22" t="str" cm="1">
        <f t="array" aca="1" ref="C1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A164, "'!C:C")),"NOK"))&gt;0, "NOK", "Pending....")),"")</f>
        <v/>
      </c>
      <c r="D164" s="24"/>
      <c r="E164" s="24"/>
      <c r="F164" s="24"/>
      <c r="G164" s="29"/>
      <c r="H164" s="24"/>
    </row>
    <row r="165" spans="1:8" x14ac:dyDescent="0.25">
      <c r="B165" s="21" t="str" cm="1">
        <f t="array" aca="1" ref="B1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" s="22" t="str" cm="1">
        <f t="array" aca="1" ref="C1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A165, "'!C:C")),"NOK"))&gt;0, "NOK", "Pending....")),"")</f>
        <v/>
      </c>
      <c r="D165" s="24"/>
      <c r="E165" s="24"/>
      <c r="F165" s="24"/>
      <c r="G165" s="29"/>
      <c r="H165" s="24"/>
    </row>
    <row r="166" spans="1:8" x14ac:dyDescent="0.25">
      <c r="B166" s="21" t="str" cm="1">
        <f t="array" aca="1" ref="B1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" s="22" t="str" cm="1">
        <f t="array" aca="1" ref="C1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A166, "'!C:C")),"NOK"))&gt;0, "NOK", "Pending....")),"")</f>
        <v/>
      </c>
      <c r="D166" s="24"/>
      <c r="E166" s="24"/>
      <c r="F166" s="24"/>
      <c r="G166" s="29"/>
      <c r="H166" s="24"/>
    </row>
    <row r="167" spans="1:8" x14ac:dyDescent="0.25">
      <c r="B167" s="21" t="str" cm="1">
        <f t="array" aca="1" ref="B1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" s="22" t="str" cm="1">
        <f t="array" aca="1" ref="C1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A167, "'!C:C")),"NOK"))&gt;0, "NOK", "Pending....")),"")</f>
        <v/>
      </c>
      <c r="D167" s="24"/>
      <c r="E167" s="24"/>
      <c r="F167" s="24"/>
      <c r="G167" s="29"/>
      <c r="H167" s="24"/>
    </row>
    <row r="168" spans="1:8" x14ac:dyDescent="0.25">
      <c r="B168" s="21" t="str" cm="1">
        <f t="array" aca="1" ref="B1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" s="22" t="str" cm="1">
        <f t="array" aca="1" ref="C1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A168, "'!C:C")),"NOK"))&gt;0, "NOK", "Pending....")),"")</f>
        <v/>
      </c>
      <c r="D168" s="24"/>
      <c r="E168" s="24"/>
      <c r="F168" s="24"/>
      <c r="G168" s="29"/>
      <c r="H168" s="24"/>
    </row>
    <row r="169" spans="1:8" x14ac:dyDescent="0.25">
      <c r="B169" s="21" t="str" cm="1">
        <f t="array" aca="1" ref="B1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" s="22" t="str" cm="1">
        <f t="array" aca="1" ref="C1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A169, "'!C:C")),"NOK"))&gt;0, "NOK", "Pending....")),"")</f>
        <v/>
      </c>
      <c r="D169" s="24"/>
      <c r="E169" s="24"/>
      <c r="F169" s="24"/>
      <c r="G169" s="29"/>
      <c r="H169" s="24"/>
    </row>
    <row r="170" spans="1:8" x14ac:dyDescent="0.25">
      <c r="B170" s="21" t="str" cm="1">
        <f t="array" aca="1" ref="B1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" s="22" t="str" cm="1">
        <f t="array" aca="1" ref="C1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A170, "'!C:C")),"NOK"))&gt;0, "NOK", "Pending....")),"")</f>
        <v/>
      </c>
      <c r="D170" s="24"/>
      <c r="E170" s="24"/>
      <c r="F170" s="24"/>
      <c r="G170" s="29"/>
      <c r="H170" s="24"/>
    </row>
    <row r="171" spans="1:8" x14ac:dyDescent="0.25">
      <c r="A171" s="28"/>
      <c r="B171" s="21" t="str" cm="1">
        <f t="array" aca="1" ref="B1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" s="22" t="str" cm="1">
        <f t="array" aca="1" ref="C1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A171, "'!C:C")),"NOK"))&gt;0, "NOK", "Pending....")),"")</f>
        <v/>
      </c>
      <c r="D171" s="24"/>
      <c r="E171" s="24"/>
      <c r="F171" s="24"/>
      <c r="G171" s="59"/>
      <c r="H171" s="24"/>
    </row>
    <row r="172" spans="1:8" x14ac:dyDescent="0.25">
      <c r="A172" s="28"/>
      <c r="B172" s="21" t="str" cm="1">
        <f t="array" aca="1" ref="B1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" s="22" t="str" cm="1">
        <f t="array" aca="1" ref="C1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A172, "'!C:C")),"NOK"))&gt;0, "NOK", "Pending....")),"")</f>
        <v/>
      </c>
      <c r="D172" s="23"/>
      <c r="E172" s="24"/>
      <c r="F172" s="38"/>
      <c r="G172" s="59"/>
      <c r="H172" s="51"/>
    </row>
    <row r="173" spans="1:8" x14ac:dyDescent="0.25">
      <c r="A173" s="28"/>
      <c r="B173" s="21" t="str" cm="1">
        <f t="array" aca="1" ref="B1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" s="22" t="str" cm="1">
        <f t="array" aca="1" ref="C1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A173, "'!C:C")),"NOK"))&gt;0, "NOK", "Pending....")),"")</f>
        <v/>
      </c>
      <c r="D173" s="26"/>
      <c r="E173" s="24"/>
      <c r="F173" s="24"/>
      <c r="G173" s="59"/>
      <c r="H173" s="24"/>
    </row>
    <row r="174" spans="1:8" x14ac:dyDescent="0.25">
      <c r="A174" s="28"/>
      <c r="B174" s="21" t="str" cm="1">
        <f t="array" aca="1" ref="B1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" s="22" t="str" cm="1">
        <f t="array" aca="1" ref="C1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A174, "'!C:C")),"NOK"))&gt;0, "NOK", "Pending....")),"")</f>
        <v/>
      </c>
      <c r="D174" s="26"/>
      <c r="E174" s="24"/>
      <c r="F174" s="24"/>
      <c r="G174" s="59"/>
      <c r="H174" s="24"/>
    </row>
    <row r="175" spans="1:8" x14ac:dyDescent="0.25">
      <c r="A175" s="28"/>
      <c r="B175" s="21" t="str" cm="1">
        <f t="array" aca="1" ref="B1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" s="22" t="str" cm="1">
        <f t="array" aca="1" ref="C1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A175, "'!C:C")),"NOK"))&gt;0, "NOK", "Pending....")),"")</f>
        <v/>
      </c>
      <c r="D175" s="23"/>
      <c r="E175" s="24"/>
      <c r="F175" s="25"/>
      <c r="G175" s="59"/>
      <c r="H175" s="24"/>
    </row>
    <row r="176" spans="1:8" x14ac:dyDescent="0.25">
      <c r="A176" s="28"/>
      <c r="B176" s="21" t="str" cm="1">
        <f t="array" aca="1" ref="B1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" s="22" t="str" cm="1">
        <f t="array" aca="1" ref="C1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A176, "'!C:C")),"NOK"))&gt;0, "NOK", "Pending....")),"")</f>
        <v/>
      </c>
      <c r="D176" s="23"/>
      <c r="E176" s="24"/>
      <c r="F176" s="25"/>
      <c r="G176" s="59"/>
      <c r="H176" s="24"/>
    </row>
    <row r="177" spans="1:8" x14ac:dyDescent="0.25">
      <c r="A177" s="28"/>
      <c r="B177" s="21" t="str" cm="1">
        <f t="array" aca="1" ref="B1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" s="22" t="str" cm="1">
        <f t="array" aca="1" ref="C1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A177, "'!C:C")),"NOK"))&gt;0, "NOK", "Pending....")),"")</f>
        <v/>
      </c>
      <c r="D177" s="23"/>
      <c r="E177" s="24"/>
      <c r="F177" s="25"/>
      <c r="G177" s="59"/>
      <c r="H177" s="24"/>
    </row>
    <row r="178" spans="1:8" x14ac:dyDescent="0.25">
      <c r="A178" s="28"/>
      <c r="B178" s="21" t="str" cm="1">
        <f t="array" aca="1" ref="B1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" s="22" t="str" cm="1">
        <f t="array" aca="1" ref="C1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A178, "'!C:C")),"NOK"))&gt;0, "NOK", "Pending....")),"")</f>
        <v/>
      </c>
      <c r="D178" s="23"/>
      <c r="E178" s="24"/>
      <c r="F178" s="25"/>
      <c r="G178" s="59"/>
      <c r="H178" s="24"/>
    </row>
    <row r="179" spans="1:8" x14ac:dyDescent="0.25">
      <c r="A179" s="28"/>
      <c r="B179" s="21" t="str" cm="1">
        <f t="array" aca="1" ref="B1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" s="22" t="str" cm="1">
        <f t="array" aca="1" ref="C1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A179, "'!C:C")),"NOK"))&gt;0, "NOK", "Pending....")),"")</f>
        <v/>
      </c>
      <c r="D179" s="23"/>
      <c r="E179" s="24"/>
      <c r="F179" s="25"/>
      <c r="G179" s="59"/>
      <c r="H179" s="24"/>
    </row>
    <row r="180" spans="1:8" x14ac:dyDescent="0.25">
      <c r="A180" s="37"/>
      <c r="B180" s="21" t="str" cm="1">
        <f t="array" aca="1" ref="B1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" s="22" t="str" cm="1">
        <f t="array" aca="1" ref="C1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A180, "'!C:C")),"NOK"))&gt;0, "NOK", "Pending....")),"")</f>
        <v/>
      </c>
      <c r="D180" s="24"/>
      <c r="E180" s="24"/>
      <c r="F180" s="24"/>
      <c r="G180" s="60"/>
      <c r="H180" s="51"/>
    </row>
    <row r="181" spans="1:8" x14ac:dyDescent="0.25">
      <c r="A181" s="37"/>
      <c r="B181" s="21" t="str" cm="1">
        <f t="array" aca="1" ref="B1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" s="22" t="str" cm="1">
        <f t="array" aca="1" ref="C1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A181, "'!C:C")),"NOK"))&gt;0, "NOK", "Pending....")),"")</f>
        <v/>
      </c>
      <c r="D181" s="24"/>
      <c r="E181" s="24"/>
      <c r="F181" s="24"/>
      <c r="G181" s="60"/>
      <c r="H181" s="51"/>
    </row>
    <row r="182" spans="1:8" x14ac:dyDescent="0.25">
      <c r="A182" s="37"/>
      <c r="B182" s="21" t="str" cm="1">
        <f t="array" aca="1" ref="B1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" s="22" t="str" cm="1">
        <f t="array" aca="1" ref="C1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A182, "'!C:C")),"NOK"))&gt;0, "NOK", "Pending....")),"")</f>
        <v/>
      </c>
      <c r="D182" s="24"/>
      <c r="E182" s="24"/>
      <c r="F182" s="24"/>
      <c r="G182" s="60"/>
      <c r="H182" s="51"/>
    </row>
    <row r="183" spans="1:8" x14ac:dyDescent="0.25">
      <c r="B183" s="21" t="str" cm="1">
        <f t="array" aca="1" ref="B1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" s="22" t="str" cm="1">
        <f t="array" aca="1" ref="C1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A183, "'!C:C")),"NOK"))&gt;0, "NOK", "Pending....")),"")</f>
        <v/>
      </c>
      <c r="D183" s="24"/>
      <c r="E183" s="24"/>
      <c r="F183" s="24"/>
      <c r="G183" s="60"/>
      <c r="H183" s="51"/>
    </row>
    <row r="184" spans="1:8" x14ac:dyDescent="0.25">
      <c r="A184" s="28"/>
      <c r="B184" s="21" t="str" cm="1">
        <f t="array" aca="1" ref="B1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" s="22" t="str" cm="1">
        <f t="array" aca="1" ref="C1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A184, "'!C:C")),"NOK"))&gt;0, "NOK", "Pending....")),"")</f>
        <v/>
      </c>
      <c r="D184" s="23"/>
      <c r="E184" s="24"/>
      <c r="F184" s="25"/>
      <c r="G184" s="59"/>
      <c r="H184" s="24"/>
    </row>
    <row r="185" spans="1:8" x14ac:dyDescent="0.25">
      <c r="A185" s="28"/>
      <c r="B185" s="21" t="str" cm="1">
        <f t="array" aca="1" ref="B1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" s="22" t="str" cm="1">
        <f t="array" aca="1" ref="C1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A185, "'!C:C")),"NOK"))&gt;0, "NOK", "Pending....")),"")</f>
        <v/>
      </c>
      <c r="D185" s="23"/>
      <c r="E185" s="24"/>
      <c r="F185" s="25"/>
      <c r="G185" s="59"/>
      <c r="H185" s="24"/>
    </row>
    <row r="186" spans="1:8" x14ac:dyDescent="0.25">
      <c r="A186" s="28"/>
      <c r="B186" s="21" t="str" cm="1">
        <f t="array" aca="1" ref="B1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" s="22" t="str" cm="1">
        <f t="array" aca="1" ref="C1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A186, "'!C:C")),"NOK"))&gt;0, "NOK", "Pending....")),"")</f>
        <v/>
      </c>
      <c r="D186" s="23"/>
      <c r="E186" s="24"/>
      <c r="F186" s="25"/>
      <c r="G186" s="59"/>
      <c r="H186" s="24"/>
    </row>
    <row r="187" spans="1:8" x14ac:dyDescent="0.25">
      <c r="A187" s="28"/>
      <c r="B187" s="21" t="str" cm="1">
        <f t="array" aca="1" ref="B1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" s="22" t="str" cm="1">
        <f t="array" aca="1" ref="C1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A187, "'!C:C")),"NOK"))&gt;0, "NOK", "Pending....")),"")</f>
        <v/>
      </c>
      <c r="D187" s="23"/>
      <c r="E187" s="24"/>
      <c r="F187" s="25"/>
      <c r="G187" s="59"/>
      <c r="H187" s="24"/>
    </row>
    <row r="188" spans="1:8" x14ac:dyDescent="0.25">
      <c r="A188" s="28"/>
      <c r="B188" s="21" t="str" cm="1">
        <f t="array" aca="1" ref="B1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" s="22" t="str" cm="1">
        <f t="array" aca="1" ref="C1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A188, "'!C:C")),"NOK"))&gt;0, "NOK", "Pending....")),"")</f>
        <v/>
      </c>
      <c r="D188" s="23"/>
      <c r="E188" s="24"/>
      <c r="F188" s="25"/>
      <c r="G188" s="59"/>
      <c r="H188" s="24"/>
    </row>
    <row r="189" spans="1:8" x14ac:dyDescent="0.25">
      <c r="A189" s="28"/>
      <c r="B189" s="21" t="str" cm="1">
        <f t="array" aca="1" ref="B1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" s="22" t="str" cm="1">
        <f t="array" aca="1" ref="C1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A189, "'!C:C")),"NOK"))&gt;0, "NOK", "Pending....")),"")</f>
        <v/>
      </c>
      <c r="D189" s="23"/>
      <c r="E189" s="24"/>
      <c r="F189" s="25"/>
      <c r="G189" s="59"/>
      <c r="H189" s="24"/>
    </row>
    <row r="190" spans="1:8" x14ac:dyDescent="0.25">
      <c r="A190" s="28"/>
      <c r="B190" s="21" t="str" cm="1">
        <f t="array" aca="1" ref="B1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" s="22" t="str" cm="1">
        <f t="array" aca="1" ref="C1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A190, "'!C:C")),"NOK"))&gt;0, "NOK", "Pending....")),"")</f>
        <v/>
      </c>
      <c r="D190" s="23"/>
      <c r="E190" s="24"/>
      <c r="F190" s="25"/>
      <c r="G190" s="59"/>
      <c r="H190" s="24"/>
    </row>
    <row r="191" spans="1:8" x14ac:dyDescent="0.25">
      <c r="A191" s="28"/>
      <c r="B191" s="21" t="str" cm="1">
        <f t="array" aca="1" ref="B1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" s="22" t="str" cm="1">
        <f t="array" aca="1" ref="C1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A191, "'!C:C")),"NOK"))&gt;0, "NOK", "Pending....")),"")</f>
        <v/>
      </c>
      <c r="D191" s="23"/>
      <c r="E191" s="24"/>
      <c r="F191" s="25"/>
      <c r="G191" s="59"/>
      <c r="H191" s="24"/>
    </row>
    <row r="192" spans="1:8" x14ac:dyDescent="0.25">
      <c r="A192" s="28"/>
      <c r="B192" s="21" t="str" cm="1">
        <f t="array" aca="1" ref="B1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" s="22" t="str" cm="1">
        <f t="array" aca="1" ref="C1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A192, "'!C:C")),"NOK"))&gt;0, "NOK", "Pending....")),"")</f>
        <v/>
      </c>
      <c r="D192" s="23"/>
      <c r="E192" s="24"/>
      <c r="F192" s="25"/>
      <c r="G192" s="59"/>
      <c r="H192" s="24"/>
    </row>
    <row r="193" spans="1:8" x14ac:dyDescent="0.25">
      <c r="A193" s="28"/>
      <c r="B193" s="21" t="str" cm="1">
        <f t="array" aca="1" ref="B1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" s="22" t="str" cm="1">
        <f t="array" aca="1" ref="C1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A193, "'!C:C")),"NOK"))&gt;0, "NOK", "Pending....")),"")</f>
        <v/>
      </c>
      <c r="D193" s="23"/>
      <c r="E193" s="24"/>
      <c r="F193" s="25"/>
      <c r="G193" s="59"/>
      <c r="H193" s="24"/>
    </row>
    <row r="194" spans="1:8" x14ac:dyDescent="0.25">
      <c r="A194" s="28"/>
      <c r="B194" s="21" t="str" cm="1">
        <f t="array" aca="1" ref="B1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" s="22" t="str" cm="1">
        <f t="array" aca="1" ref="C1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A194, "'!C:C")),"NOK"))&gt;0, "NOK", "Pending....")),"")</f>
        <v/>
      </c>
      <c r="D194" s="23"/>
      <c r="E194" s="24"/>
      <c r="F194" s="25"/>
      <c r="G194" s="59"/>
      <c r="H194" s="24"/>
    </row>
    <row r="195" spans="1:8" x14ac:dyDescent="0.25">
      <c r="A195" s="28"/>
      <c r="B195" s="21" t="str" cm="1">
        <f t="array" aca="1" ref="B1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" s="22" t="str" cm="1">
        <f t="array" aca="1" ref="C1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A195, "'!C:C")),"NOK"))&gt;0, "NOK", "Pending....")),"")</f>
        <v/>
      </c>
      <c r="D195" s="23"/>
      <c r="E195" s="24"/>
      <c r="F195" s="25"/>
      <c r="G195" s="59"/>
      <c r="H195" s="24"/>
    </row>
    <row r="196" spans="1:8" x14ac:dyDescent="0.25">
      <c r="A196" s="28"/>
      <c r="B196" s="21" t="str" cm="1">
        <f t="array" aca="1" ref="B1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" s="22" t="str" cm="1">
        <f t="array" aca="1" ref="C1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A196, "'!C:C")),"NOK"))&gt;0, "NOK", "Pending....")),"")</f>
        <v/>
      </c>
      <c r="D196" s="23"/>
      <c r="E196" s="24"/>
      <c r="F196" s="25"/>
      <c r="G196" s="59"/>
      <c r="H196" s="24"/>
    </row>
    <row r="197" spans="1:8" x14ac:dyDescent="0.25">
      <c r="A197" s="28"/>
      <c r="B197" s="21" t="str" cm="1">
        <f t="array" aca="1" ref="B1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7" s="22" t="str" cm="1">
        <f t="array" aca="1" ref="C1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A197, "'!C:C")),"NOK"))&gt;0, "NOK", "Pending....")),"")</f>
        <v/>
      </c>
      <c r="D197" s="23"/>
      <c r="E197" s="24"/>
      <c r="F197" s="25"/>
      <c r="G197" s="59"/>
      <c r="H197" s="24"/>
    </row>
    <row r="198" spans="1:8" x14ac:dyDescent="0.25">
      <c r="A198" s="28"/>
      <c r="B198" s="21" t="str" cm="1">
        <f t="array" aca="1" ref="B1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8" s="22" t="str" cm="1">
        <f t="array" aca="1" ref="C1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A198, "'!C:C")),"NOK"))&gt;0, "NOK", "Pending....")),"")</f>
        <v/>
      </c>
      <c r="D198" s="23"/>
      <c r="E198" s="24"/>
      <c r="F198" s="25"/>
      <c r="G198" s="59"/>
      <c r="H198" s="24"/>
    </row>
    <row r="199" spans="1:8" x14ac:dyDescent="0.25">
      <c r="A199" s="28"/>
      <c r="B199" s="21" t="str" cm="1">
        <f t="array" aca="1" ref="B1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9" s="22" t="str" cm="1">
        <f t="array" aca="1" ref="C1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A199, "'!C:C")),"NOK"))&gt;0, "NOK", "Pending....")),"")</f>
        <v/>
      </c>
      <c r="D199" s="23"/>
      <c r="E199" s="24"/>
      <c r="F199" s="25"/>
      <c r="G199" s="59"/>
      <c r="H199" s="24"/>
    </row>
    <row r="200" spans="1:8" x14ac:dyDescent="0.25">
      <c r="A200" s="28"/>
      <c r="B200" s="21" t="str" cm="1">
        <f t="array" aca="1" ref="B2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0" s="22" t="str" cm="1">
        <f t="array" aca="1" ref="C2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A200, "'!C:C")),"NOK"))&gt;0, "NOK", "Pending....")),"")</f>
        <v/>
      </c>
      <c r="D200" s="23"/>
      <c r="E200" s="24"/>
      <c r="F200" s="25"/>
      <c r="G200" s="59"/>
      <c r="H200" s="24"/>
    </row>
    <row r="201" spans="1:8" x14ac:dyDescent="0.25">
      <c r="A201" s="28"/>
      <c r="B201" s="21" t="str" cm="1">
        <f t="array" aca="1" ref="B2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1" s="22" t="str" cm="1">
        <f t="array" aca="1" ref="C2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A201, "'!C:C")),"NOK"))&gt;0, "NOK", "Pending....")),"")</f>
        <v/>
      </c>
      <c r="D201" s="23"/>
      <c r="E201" s="24"/>
      <c r="F201" s="52"/>
      <c r="G201" s="59"/>
      <c r="H201" s="24"/>
    </row>
    <row r="202" spans="1:8" x14ac:dyDescent="0.25">
      <c r="A202" s="28"/>
      <c r="B202" s="21" t="str" cm="1">
        <f t="array" aca="1" ref="B2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2" s="22" t="str" cm="1">
        <f t="array" aca="1" ref="C2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A202, "'!C:C")),"NOK"))&gt;0, "NOK", "Pending....")),"")</f>
        <v/>
      </c>
      <c r="D202" s="23"/>
      <c r="E202" s="24"/>
      <c r="F202" s="25"/>
      <c r="G202" s="59"/>
      <c r="H202" s="24"/>
    </row>
    <row r="203" spans="1:8" x14ac:dyDescent="0.25">
      <c r="A203" s="28"/>
      <c r="B203" s="21" t="str" cm="1">
        <f t="array" aca="1" ref="B2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3" s="22" t="str" cm="1">
        <f t="array" aca="1" ref="C2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A203, "'!C:C")),"NOK"))&gt;0, "NOK", "Pending....")),"")</f>
        <v/>
      </c>
      <c r="D203" s="23"/>
      <c r="E203" s="24"/>
      <c r="F203" s="25"/>
      <c r="G203" s="59"/>
      <c r="H203" s="24"/>
    </row>
    <row r="204" spans="1:8" x14ac:dyDescent="0.25">
      <c r="A204" s="28"/>
      <c r="B204" s="21" t="str" cm="1">
        <f t="array" aca="1" ref="B2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4" s="22" t="str" cm="1">
        <f t="array" aca="1" ref="C2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A204, "'!C:C")),"NOK"))&gt;0, "NOK", "Pending....")),"")</f>
        <v/>
      </c>
      <c r="D204" s="23"/>
      <c r="E204" s="24"/>
      <c r="F204" s="25"/>
      <c r="G204" s="59"/>
      <c r="H204" s="24"/>
    </row>
    <row r="205" spans="1:8" x14ac:dyDescent="0.25">
      <c r="A205" s="28"/>
      <c r="B205" s="21" t="str" cm="1">
        <f t="array" aca="1" ref="B2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5" s="22" t="str" cm="1">
        <f t="array" aca="1" ref="C2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A205, "'!C:C")),"NOK"))&gt;0, "NOK", "Pending....")),"")</f>
        <v/>
      </c>
      <c r="D205" s="23"/>
      <c r="E205" s="24"/>
      <c r="F205" s="25"/>
      <c r="G205" s="59"/>
      <c r="H205" s="24"/>
    </row>
    <row r="206" spans="1:8" x14ac:dyDescent="0.25">
      <c r="A206" s="28"/>
      <c r="B206" s="21" t="str" cm="1">
        <f t="array" aca="1" ref="B2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6" s="22" t="str" cm="1">
        <f t="array" aca="1" ref="C2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A206, "'!C:C")),"NOK"))&gt;0, "NOK", "Pending....")),"")</f>
        <v/>
      </c>
      <c r="D206" s="23"/>
      <c r="E206" s="24"/>
      <c r="F206" s="25"/>
      <c r="G206" s="59"/>
      <c r="H206" s="24"/>
    </row>
    <row r="207" spans="1:8" x14ac:dyDescent="0.25">
      <c r="A207" s="28"/>
      <c r="B207" s="21" t="str" cm="1">
        <f t="array" aca="1" ref="B2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7" s="22" t="str" cm="1">
        <f t="array" aca="1" ref="C2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A207, "'!C:C")),"NOK"))&gt;0, "NOK", "Pending....")),"")</f>
        <v/>
      </c>
      <c r="D207" s="23"/>
      <c r="E207" s="24"/>
      <c r="F207" s="25"/>
      <c r="G207" s="59"/>
      <c r="H207" s="24"/>
    </row>
    <row r="208" spans="1:8" x14ac:dyDescent="0.25">
      <c r="A208" s="28"/>
      <c r="B208" s="21" t="str" cm="1">
        <f t="array" aca="1" ref="B2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8" s="22" t="str" cm="1">
        <f t="array" aca="1" ref="C2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A208, "'!C:C")),"NOK"))&gt;0, "NOK", "Pending....")),"")</f>
        <v/>
      </c>
      <c r="D208" s="23"/>
      <c r="E208" s="24"/>
      <c r="F208" s="25"/>
      <c r="G208" s="59"/>
      <c r="H208" s="24"/>
    </row>
    <row r="209" spans="1:8" x14ac:dyDescent="0.25">
      <c r="A209" s="28"/>
      <c r="B209" s="21" t="str" cm="1">
        <f t="array" aca="1" ref="B2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09" s="22" t="str" cm="1">
        <f t="array" aca="1" ref="C2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A209, "'!C:C")),"NOK"))&gt;0, "NOK", "Pending....")),"")</f>
        <v/>
      </c>
      <c r="D209" s="24"/>
      <c r="E209" s="24"/>
      <c r="F209" s="24"/>
      <c r="G209" s="59"/>
      <c r="H209" s="24"/>
    </row>
    <row r="210" spans="1:8" x14ac:dyDescent="0.25">
      <c r="A210" s="28"/>
      <c r="B210" s="21" t="str" cm="1">
        <f t="array" aca="1" ref="B2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0" s="22" t="str" cm="1">
        <f t="array" aca="1" ref="C2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A210, "'!C:C")),"NOK"))&gt;0, "NOK", "Pending....")),"")</f>
        <v/>
      </c>
      <c r="D210" s="23"/>
      <c r="E210" s="24"/>
      <c r="F210" s="25"/>
      <c r="G210" s="59"/>
      <c r="H210" s="24"/>
    </row>
    <row r="211" spans="1:8" x14ac:dyDescent="0.25">
      <c r="A211" s="28"/>
      <c r="B211" s="21" t="str" cm="1">
        <f t="array" aca="1" ref="B2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1" s="22" t="str" cm="1">
        <f t="array" aca="1" ref="C2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A211, "'!C:C")),"NOK"))&gt;0, "NOK", "Pending....")),"")</f>
        <v/>
      </c>
      <c r="D211" s="23"/>
      <c r="E211" s="24"/>
      <c r="F211" s="25"/>
      <c r="G211" s="59"/>
      <c r="H211" s="24"/>
    </row>
    <row r="212" spans="1:8" x14ac:dyDescent="0.25">
      <c r="A212" s="28"/>
      <c r="B212" s="21" t="str" cm="1">
        <f t="array" aca="1" ref="B2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2" s="22" t="str" cm="1">
        <f t="array" aca="1" ref="C2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A212, "'!C:C")),"NOK"))&gt;0, "NOK", "Pending....")),"")</f>
        <v/>
      </c>
      <c r="D212" s="23"/>
      <c r="E212" s="24"/>
      <c r="F212" s="25"/>
      <c r="G212" s="59"/>
      <c r="H212" s="24"/>
    </row>
    <row r="213" spans="1:8" x14ac:dyDescent="0.25">
      <c r="A213" s="37"/>
      <c r="B213" s="21" t="str" cm="1">
        <f t="array" aca="1" ref="B2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3" s="22" t="str" cm="1">
        <f t="array" aca="1" ref="C2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A213, "'!C:C")),"NOK"))&gt;0, "NOK", "Pending....")),"")</f>
        <v/>
      </c>
      <c r="D213" s="24"/>
      <c r="E213" s="24"/>
      <c r="F213" s="24"/>
      <c r="G213" s="60"/>
      <c r="H213" s="51"/>
    </row>
    <row r="214" spans="1:8" x14ac:dyDescent="0.25">
      <c r="B214" s="21" t="str" cm="1">
        <f t="array" aca="1" ref="B2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4" s="22" t="str" cm="1">
        <f t="array" aca="1" ref="C2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A214, "'!C:C")),"NOK"))&gt;0, "NOK", "Pending....")),"")</f>
        <v/>
      </c>
      <c r="D214" s="24"/>
      <c r="E214" s="24"/>
      <c r="F214" s="24"/>
      <c r="G214" s="29"/>
      <c r="H214" s="24"/>
    </row>
    <row r="215" spans="1:8" x14ac:dyDescent="0.25">
      <c r="B215" s="21" t="str" cm="1">
        <f t="array" aca="1" ref="B2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5" s="22" t="str" cm="1">
        <f t="array" aca="1" ref="C2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A215, "'!C:C")),"NOK"))&gt;0, "NOK", "Pending....")),"")</f>
        <v/>
      </c>
      <c r="D215" s="24"/>
      <c r="E215" s="24"/>
      <c r="F215" s="24"/>
      <c r="G215" s="29"/>
      <c r="H215" s="24"/>
    </row>
    <row r="216" spans="1:8" x14ac:dyDescent="0.25">
      <c r="B216" s="21" t="str" cm="1">
        <f t="array" aca="1" ref="B2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6" s="22" t="str" cm="1">
        <f t="array" aca="1" ref="C2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A216, "'!C:C")),"NOK"))&gt;0, "NOK", "Pending....")),"")</f>
        <v/>
      </c>
      <c r="D216" s="24"/>
      <c r="E216" s="24"/>
      <c r="F216" s="24"/>
      <c r="G216" s="29"/>
      <c r="H216" s="24"/>
    </row>
    <row r="217" spans="1:8" x14ac:dyDescent="0.25">
      <c r="B217" s="21" t="str" cm="1">
        <f t="array" aca="1" ref="B2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7" s="22" t="str" cm="1">
        <f t="array" aca="1" ref="C2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A217, "'!C:C")),"NOK"))&gt;0, "NOK", "Pending....")),"")</f>
        <v/>
      </c>
      <c r="D217" s="24"/>
      <c r="E217" s="24"/>
      <c r="F217" s="24"/>
      <c r="G217" s="29"/>
      <c r="H217" s="24"/>
    </row>
    <row r="218" spans="1:8" x14ac:dyDescent="0.25">
      <c r="B218" s="21" t="str" cm="1">
        <f t="array" aca="1" ref="B2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8" s="22" t="str" cm="1">
        <f t="array" aca="1" ref="C2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A218, "'!C:C")),"NOK"))&gt;0, "NOK", "Pending....")),"")</f>
        <v/>
      </c>
      <c r="D218" s="24"/>
      <c r="E218" s="24"/>
      <c r="F218" s="24"/>
      <c r="G218" s="29"/>
      <c r="H218" s="24"/>
    </row>
    <row r="219" spans="1:8" x14ac:dyDescent="0.25">
      <c r="B219" s="21" t="str" cm="1">
        <f t="array" aca="1" ref="B2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19" s="22" t="str" cm="1">
        <f t="array" aca="1" ref="C2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A219, "'!C:C")),"NOK"))&gt;0, "NOK", "Pending....")),"")</f>
        <v/>
      </c>
      <c r="D219" s="24"/>
      <c r="E219" s="24"/>
      <c r="F219" s="24"/>
      <c r="G219" s="29"/>
      <c r="H219" s="24"/>
    </row>
    <row r="220" spans="1:8" x14ac:dyDescent="0.25">
      <c r="B220" s="21" t="str" cm="1">
        <f t="array" aca="1" ref="B2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0" s="22" t="str" cm="1">
        <f t="array" aca="1" ref="C2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A220, "'!C:C")),"NOK"))&gt;0, "NOK", "Pending....")),"")</f>
        <v/>
      </c>
      <c r="D220" s="24"/>
      <c r="E220" s="24"/>
      <c r="F220" s="24"/>
      <c r="G220" s="29"/>
      <c r="H220" s="24"/>
    </row>
    <row r="221" spans="1:8" x14ac:dyDescent="0.25">
      <c r="B221" s="21" t="str" cm="1">
        <f t="array" aca="1" ref="B2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1" s="22" t="str" cm="1">
        <f t="array" aca="1" ref="C2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A221, "'!C:C")),"NOK"))&gt;0, "NOK", "Pending....")),"")</f>
        <v/>
      </c>
      <c r="D221" s="24"/>
      <c r="E221" s="24"/>
      <c r="F221" s="24"/>
      <c r="G221" s="29"/>
      <c r="H221" s="24"/>
    </row>
    <row r="222" spans="1:8" x14ac:dyDescent="0.25">
      <c r="B222" s="21" t="str" cm="1">
        <f t="array" aca="1" ref="B2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2" s="22" t="str" cm="1">
        <f t="array" aca="1" ref="C2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A222, "'!C:C")),"NOK"))&gt;0, "NOK", "Pending....")),"")</f>
        <v/>
      </c>
      <c r="D222" s="24"/>
      <c r="E222" s="24"/>
      <c r="F222" s="24"/>
      <c r="G222" s="29"/>
      <c r="H222" s="24"/>
    </row>
    <row r="223" spans="1:8" x14ac:dyDescent="0.25">
      <c r="B223" s="21" t="str" cm="1">
        <f t="array" aca="1" ref="B2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3" s="22" t="str" cm="1">
        <f t="array" aca="1" ref="C2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A223, "'!C:C")),"NOK"))&gt;0, "NOK", "Pending....")),"")</f>
        <v/>
      </c>
      <c r="D223" s="24"/>
      <c r="E223" s="24"/>
      <c r="F223" s="24"/>
      <c r="G223" s="29"/>
      <c r="H223" s="24"/>
    </row>
    <row r="224" spans="1:8" x14ac:dyDescent="0.25">
      <c r="B224" s="21" t="str" cm="1">
        <f t="array" aca="1" ref="B2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4" s="22" t="str" cm="1">
        <f t="array" aca="1" ref="C2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A224, "'!C:C")),"NOK"))&gt;0, "NOK", "Pending....")),"")</f>
        <v/>
      </c>
      <c r="D224" s="24"/>
      <c r="E224" s="24"/>
      <c r="F224" s="24"/>
      <c r="G224" s="29"/>
      <c r="H224" s="24"/>
    </row>
    <row r="225" spans="2:8" x14ac:dyDescent="0.25">
      <c r="B225" s="21" t="str" cm="1">
        <f t="array" aca="1" ref="B2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5" s="22" t="str" cm="1">
        <f t="array" aca="1" ref="C2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A225, "'!C:C")),"NOK"))&gt;0, "NOK", "Pending....")),"")</f>
        <v/>
      </c>
      <c r="D225" s="24"/>
      <c r="E225" s="24"/>
      <c r="F225" s="24"/>
      <c r="G225" s="29"/>
      <c r="H225" s="24"/>
    </row>
    <row r="226" spans="2:8" x14ac:dyDescent="0.25">
      <c r="B226" s="21" t="str" cm="1">
        <f t="array" aca="1" ref="B2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6" s="22" t="str" cm="1">
        <f t="array" aca="1" ref="C2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A226, "'!C:C")),"NOK"))&gt;0, "NOK", "Pending....")),"")</f>
        <v/>
      </c>
      <c r="D226" s="24"/>
      <c r="E226" s="24"/>
      <c r="F226" s="24"/>
      <c r="G226" s="29"/>
      <c r="H226" s="24"/>
    </row>
    <row r="227" spans="2:8" x14ac:dyDescent="0.25">
      <c r="B227" s="21" t="str" cm="1">
        <f t="array" aca="1" ref="B2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7" s="22" t="str" cm="1">
        <f t="array" aca="1" ref="C2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A227, "'!C:C")),"NOK"))&gt;0, "NOK", "Pending....")),"")</f>
        <v/>
      </c>
      <c r="D227" s="24"/>
      <c r="E227" s="24"/>
      <c r="F227" s="24"/>
      <c r="G227" s="29"/>
      <c r="H227" s="24"/>
    </row>
    <row r="228" spans="2:8" x14ac:dyDescent="0.25">
      <c r="B228" s="21" t="str" cm="1">
        <f t="array" aca="1" ref="B2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8" s="22" t="str" cm="1">
        <f t="array" aca="1" ref="C2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A228, "'!C:C")),"NOK"))&gt;0, "NOK", "Pending....")),"")</f>
        <v/>
      </c>
      <c r="D228" s="24"/>
      <c r="E228" s="24"/>
      <c r="F228" s="24"/>
      <c r="G228" s="29"/>
      <c r="H228" s="24"/>
    </row>
    <row r="229" spans="2:8" x14ac:dyDescent="0.25">
      <c r="B229" s="21" t="str" cm="1">
        <f t="array" aca="1" ref="B2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29" s="22" t="str" cm="1">
        <f t="array" aca="1" ref="C2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A229, "'!C:C")),"NOK"))&gt;0, "NOK", "Pending....")),"")</f>
        <v/>
      </c>
      <c r="D229" s="24"/>
      <c r="E229" s="24"/>
      <c r="F229" s="24"/>
      <c r="G229" s="29"/>
      <c r="H229" s="24"/>
    </row>
    <row r="230" spans="2:8" x14ac:dyDescent="0.25">
      <c r="B230" s="21" t="str" cm="1">
        <f t="array" aca="1" ref="B2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0" s="22" t="str" cm="1">
        <f t="array" aca="1" ref="C2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A230, "'!C:C")),"NOK"))&gt;0, "NOK", "Pending....")),"")</f>
        <v/>
      </c>
      <c r="D230" s="24"/>
      <c r="E230" s="24"/>
      <c r="F230" s="24"/>
      <c r="G230" s="29"/>
      <c r="H230" s="24"/>
    </row>
    <row r="231" spans="2:8" x14ac:dyDescent="0.25">
      <c r="B231" s="21" t="str" cm="1">
        <f t="array" aca="1" ref="B2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1" s="22" t="str" cm="1">
        <f t="array" aca="1" ref="C2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A231, "'!C:C")),"NOK"))&gt;0, "NOK", "Pending....")),"")</f>
        <v/>
      </c>
      <c r="D231" s="24"/>
      <c r="E231" s="24"/>
      <c r="F231" s="24"/>
      <c r="G231" s="29"/>
      <c r="H231" s="24"/>
    </row>
    <row r="232" spans="2:8" x14ac:dyDescent="0.25">
      <c r="B232" s="21" t="str" cm="1">
        <f t="array" aca="1" ref="B2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2" s="22" t="str" cm="1">
        <f t="array" aca="1" ref="C2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A232, "'!C:C")),"NOK"))&gt;0, "NOK", "Pending....")),"")</f>
        <v/>
      </c>
      <c r="D232" s="24"/>
      <c r="E232" s="24"/>
      <c r="F232" s="24"/>
      <c r="G232" s="29"/>
      <c r="H232" s="24"/>
    </row>
    <row r="233" spans="2:8" x14ac:dyDescent="0.25">
      <c r="B233" s="21" t="str" cm="1">
        <f t="array" aca="1" ref="B2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3" s="22" t="str" cm="1">
        <f t="array" aca="1" ref="C2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A233, "'!C:C")),"NOK"))&gt;0, "NOK", "Pending....")),"")</f>
        <v/>
      </c>
      <c r="D233" s="24"/>
      <c r="E233" s="24"/>
      <c r="F233" s="24"/>
      <c r="G233" s="29"/>
      <c r="H233" s="24"/>
    </row>
    <row r="234" spans="2:8" x14ac:dyDescent="0.25">
      <c r="B234" s="21" t="str" cm="1">
        <f t="array" aca="1" ref="B2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4" s="22" t="str" cm="1">
        <f t="array" aca="1" ref="C2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A234, "'!C:C")),"NOK"))&gt;0, "NOK", "Pending....")),"")</f>
        <v/>
      </c>
      <c r="D234" s="24"/>
      <c r="E234" s="24"/>
      <c r="F234" s="24"/>
      <c r="G234" s="29"/>
      <c r="H234" s="24"/>
    </row>
    <row r="235" spans="2:8" x14ac:dyDescent="0.25">
      <c r="B235" s="21" t="str" cm="1">
        <f t="array" aca="1" ref="B2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5" s="22" t="str" cm="1">
        <f t="array" aca="1" ref="C2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A235, "'!C:C")),"NOK"))&gt;0, "NOK", "Pending....")),"")</f>
        <v/>
      </c>
      <c r="D235" s="24"/>
      <c r="E235" s="24"/>
      <c r="F235" s="24"/>
      <c r="G235" s="29"/>
      <c r="H235" s="24"/>
    </row>
    <row r="236" spans="2:8" x14ac:dyDescent="0.25">
      <c r="B236" s="21" t="str" cm="1">
        <f t="array" aca="1" ref="B2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6" s="22" t="str" cm="1">
        <f t="array" aca="1" ref="C2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A236, "'!C:C")),"NOK"))&gt;0, "NOK", "Pending....")),"")</f>
        <v/>
      </c>
      <c r="D236" s="24"/>
      <c r="E236" s="24"/>
      <c r="F236" s="24"/>
      <c r="G236" s="29"/>
      <c r="H236" s="24"/>
    </row>
    <row r="237" spans="2:8" x14ac:dyDescent="0.25">
      <c r="B237" s="21" t="str" cm="1">
        <f t="array" aca="1" ref="B2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7" s="22" t="str" cm="1">
        <f t="array" aca="1" ref="C2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A237, "'!C:C")),"NOK"))&gt;0, "NOK", "Pending....")),"")</f>
        <v/>
      </c>
      <c r="D237" s="24"/>
      <c r="E237" s="24"/>
      <c r="F237" s="24"/>
      <c r="G237" s="29"/>
      <c r="H237" s="24"/>
    </row>
    <row r="238" spans="2:8" x14ac:dyDescent="0.25">
      <c r="B238" s="21" t="str" cm="1">
        <f t="array" aca="1" ref="B2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8" s="22" t="str" cm="1">
        <f t="array" aca="1" ref="C2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A238, "'!C:C")),"NOK"))&gt;0, "NOK", "Pending....")),"")</f>
        <v/>
      </c>
      <c r="D238" s="24"/>
      <c r="E238" s="24"/>
      <c r="F238" s="24"/>
      <c r="G238" s="29"/>
      <c r="H238" s="24"/>
    </row>
    <row r="239" spans="2:8" x14ac:dyDescent="0.25">
      <c r="B239" s="21" t="str" cm="1">
        <f t="array" aca="1" ref="B2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39" s="22" t="str" cm="1">
        <f t="array" aca="1" ref="C2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A239, "'!C:C")),"NOK"))&gt;0, "NOK", "Pending....")),"")</f>
        <v/>
      </c>
      <c r="D239" s="24"/>
      <c r="E239" s="24"/>
      <c r="F239" s="24"/>
      <c r="G239" s="29"/>
      <c r="H239" s="24"/>
    </row>
    <row r="240" spans="2:8" x14ac:dyDescent="0.25">
      <c r="B240" s="21" t="str" cm="1">
        <f t="array" aca="1" ref="B2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0" s="22" t="str" cm="1">
        <f t="array" aca="1" ref="C2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A240, "'!C:C")),"NOK"))&gt;0, "NOK", "Pending....")),"")</f>
        <v/>
      </c>
      <c r="D240" s="24"/>
      <c r="E240" s="24"/>
      <c r="F240" s="24"/>
      <c r="G240" s="29"/>
      <c r="H240" s="24"/>
    </row>
    <row r="241" spans="2:8" x14ac:dyDescent="0.25">
      <c r="B241" s="21" t="str" cm="1">
        <f t="array" aca="1" ref="B2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1" s="22" t="str" cm="1">
        <f t="array" aca="1" ref="C2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A241, "'!C:C")),"NOK"))&gt;0, "NOK", "Pending....")),"")</f>
        <v/>
      </c>
      <c r="D241" s="24"/>
      <c r="E241" s="24"/>
      <c r="F241" s="24"/>
      <c r="G241" s="29"/>
      <c r="H241" s="24"/>
    </row>
    <row r="242" spans="2:8" x14ac:dyDescent="0.25">
      <c r="B242" s="21" t="str" cm="1">
        <f t="array" aca="1" ref="B2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2" s="22" t="str" cm="1">
        <f t="array" aca="1" ref="C2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A242, "'!C:C")),"NOK"))&gt;0, "NOK", "Pending....")),"")</f>
        <v/>
      </c>
      <c r="D242" s="24"/>
      <c r="E242" s="24"/>
      <c r="F242" s="24"/>
      <c r="G242" s="29"/>
      <c r="H242" s="24"/>
    </row>
    <row r="243" spans="2:8" x14ac:dyDescent="0.25">
      <c r="B243" s="21" t="str" cm="1">
        <f t="array" aca="1" ref="B2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3" s="22" t="str" cm="1">
        <f t="array" aca="1" ref="C2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A243, "'!C:C")),"NOK"))&gt;0, "NOK", "Pending....")),"")</f>
        <v/>
      </c>
      <c r="D243" s="24"/>
      <c r="E243" s="24"/>
      <c r="F243" s="24"/>
      <c r="G243" s="29"/>
      <c r="H243" s="24"/>
    </row>
    <row r="244" spans="2:8" x14ac:dyDescent="0.25">
      <c r="B244" s="21" t="str" cm="1">
        <f t="array" aca="1" ref="B2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4" s="22" t="str" cm="1">
        <f t="array" aca="1" ref="C2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A244, "'!C:C")),"NOK"))&gt;0, "NOK", "Pending....")),"")</f>
        <v/>
      </c>
      <c r="D244" s="24"/>
      <c r="E244" s="24"/>
      <c r="F244" s="24"/>
      <c r="G244" s="29"/>
      <c r="H244" s="24"/>
    </row>
    <row r="245" spans="2:8" x14ac:dyDescent="0.25">
      <c r="B245" s="21" t="str" cm="1">
        <f t="array" aca="1" ref="B2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5" s="22" t="str" cm="1">
        <f t="array" aca="1" ref="C2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A245, "'!C:C")),"NOK"))&gt;0, "NOK", "Pending....")),"")</f>
        <v/>
      </c>
      <c r="D245" s="24"/>
      <c r="E245" s="24"/>
      <c r="F245" s="24"/>
      <c r="G245" s="29"/>
      <c r="H245" s="24"/>
    </row>
    <row r="246" spans="2:8" x14ac:dyDescent="0.25">
      <c r="B246" s="21" t="str" cm="1">
        <f t="array" aca="1" ref="B2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6" s="22" t="str" cm="1">
        <f t="array" aca="1" ref="C2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A246, "'!C:C")),"NOK"))&gt;0, "NOK", "Pending....")),"")</f>
        <v/>
      </c>
      <c r="D246" s="24"/>
      <c r="E246" s="24"/>
      <c r="F246" s="24"/>
      <c r="G246" s="29"/>
      <c r="H246" s="24"/>
    </row>
    <row r="247" spans="2:8" x14ac:dyDescent="0.25">
      <c r="B247" s="21" t="str" cm="1">
        <f t="array" aca="1" ref="B2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7" s="22" t="str" cm="1">
        <f t="array" aca="1" ref="C2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A247, "'!C:C")),"NOK"))&gt;0, "NOK", "Pending....")),"")</f>
        <v/>
      </c>
      <c r="D247" s="24"/>
      <c r="E247" s="24"/>
      <c r="F247" s="24"/>
      <c r="G247" s="29"/>
      <c r="H247" s="24"/>
    </row>
    <row r="248" spans="2:8" x14ac:dyDescent="0.25">
      <c r="B248" s="21" t="str" cm="1">
        <f t="array" aca="1" ref="B2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8" s="22" t="str" cm="1">
        <f t="array" aca="1" ref="C2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A248, "'!C:C")),"NOK"))&gt;0, "NOK", "Pending....")),"")</f>
        <v/>
      </c>
      <c r="D248" s="24"/>
      <c r="E248" s="24"/>
      <c r="F248" s="24"/>
      <c r="G248" s="29"/>
      <c r="H248" s="24"/>
    </row>
    <row r="249" spans="2:8" x14ac:dyDescent="0.25">
      <c r="B249" s="21" t="str" cm="1">
        <f t="array" aca="1" ref="B2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49" s="22" t="str" cm="1">
        <f t="array" aca="1" ref="C2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A249, "'!C:C")),"NOK"))&gt;0, "NOK", "Pending....")),"")</f>
        <v/>
      </c>
      <c r="D249" s="24"/>
      <c r="E249" s="24"/>
      <c r="F249" s="24"/>
      <c r="G249" s="29"/>
      <c r="H249" s="24"/>
    </row>
    <row r="250" spans="2:8" x14ac:dyDescent="0.25">
      <c r="B250" s="21" t="str" cm="1">
        <f t="array" aca="1" ref="B2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0" s="22" t="str" cm="1">
        <f t="array" aca="1" ref="C2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A250, "'!C:C")),"NOK"))&gt;0, "NOK", "Pending....")),"")</f>
        <v/>
      </c>
      <c r="D250" s="24"/>
      <c r="E250" s="24"/>
      <c r="F250" s="24"/>
      <c r="G250" s="29"/>
      <c r="H250" s="24"/>
    </row>
    <row r="251" spans="2:8" x14ac:dyDescent="0.25">
      <c r="B251" s="21" t="str" cm="1">
        <f t="array" aca="1" ref="B2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1" s="22" t="str" cm="1">
        <f t="array" aca="1" ref="C2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A251, "'!C:C")),"NOK"))&gt;0, "NOK", "Pending....")),"")</f>
        <v/>
      </c>
      <c r="D251" s="24"/>
      <c r="E251" s="24"/>
      <c r="F251" s="24"/>
      <c r="G251" s="29"/>
      <c r="H251" s="24"/>
    </row>
    <row r="252" spans="2:8" x14ac:dyDescent="0.25">
      <c r="B252" s="21" t="str" cm="1">
        <f t="array" aca="1" ref="B2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2" s="22" t="str" cm="1">
        <f t="array" aca="1" ref="C2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A252, "'!C:C")),"NOK"))&gt;0, "NOK", "Pending....")),"")</f>
        <v/>
      </c>
      <c r="D252" s="24"/>
      <c r="E252" s="24"/>
      <c r="F252" s="24"/>
      <c r="G252" s="29"/>
      <c r="H252" s="24"/>
    </row>
    <row r="253" spans="2:8" x14ac:dyDescent="0.25">
      <c r="B253" s="21" t="str" cm="1">
        <f t="array" aca="1" ref="B2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3" s="22" t="str" cm="1">
        <f t="array" aca="1" ref="C2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A253, "'!C:C")),"NOK"))&gt;0, "NOK", "Pending....")),"")</f>
        <v/>
      </c>
      <c r="D253" s="24"/>
      <c r="E253" s="24"/>
      <c r="F253" s="24"/>
      <c r="G253" s="29"/>
      <c r="H253" s="24"/>
    </row>
    <row r="254" spans="2:8" x14ac:dyDescent="0.25">
      <c r="B254" s="21" t="str" cm="1">
        <f t="array" aca="1" ref="B2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4" s="22" t="str" cm="1">
        <f t="array" aca="1" ref="C2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A254, "'!C:C")),"NOK"))&gt;0, "NOK", "Pending....")),"")</f>
        <v/>
      </c>
      <c r="D254" s="24"/>
      <c r="E254" s="24"/>
      <c r="F254" s="24"/>
      <c r="G254" s="29"/>
      <c r="H254" s="24"/>
    </row>
    <row r="255" spans="2:8" x14ac:dyDescent="0.25">
      <c r="B255" s="21" t="str" cm="1">
        <f t="array" aca="1" ref="B2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5" s="22" t="str" cm="1">
        <f t="array" aca="1" ref="C2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A255, "'!C:C")),"NOK"))&gt;0, "NOK", "Pending....")),"")</f>
        <v/>
      </c>
      <c r="D255" s="24"/>
      <c r="E255" s="24"/>
      <c r="F255" s="24"/>
      <c r="G255" s="29"/>
      <c r="H255" s="24"/>
    </row>
    <row r="256" spans="2:8" x14ac:dyDescent="0.25">
      <c r="B256" s="21" t="str" cm="1">
        <f t="array" aca="1" ref="B2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6" s="22" t="str" cm="1">
        <f t="array" aca="1" ref="C2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A256, "'!C:C")),"NOK"))&gt;0, "NOK", "Pending....")),"")</f>
        <v/>
      </c>
      <c r="D256" s="24"/>
      <c r="E256" s="24"/>
      <c r="F256" s="24"/>
      <c r="G256" s="29"/>
      <c r="H256" s="24"/>
    </row>
    <row r="257" spans="2:8" x14ac:dyDescent="0.25">
      <c r="B257" s="21" t="str" cm="1">
        <f t="array" aca="1" ref="B2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7" s="22" t="str" cm="1">
        <f t="array" aca="1" ref="C2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A257, "'!C:C")),"NOK"))&gt;0, "NOK", "Pending....")),"")</f>
        <v/>
      </c>
      <c r="D257" s="24"/>
      <c r="E257" s="24"/>
      <c r="F257" s="24"/>
      <c r="G257" s="29"/>
      <c r="H257" s="24"/>
    </row>
    <row r="258" spans="2:8" x14ac:dyDescent="0.25">
      <c r="B258" s="21" t="str" cm="1">
        <f t="array" aca="1" ref="B2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8" s="22" t="str" cm="1">
        <f t="array" aca="1" ref="C2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A258, "'!C:C")),"NOK"))&gt;0, "NOK", "Pending....")),"")</f>
        <v/>
      </c>
      <c r="D258" s="24"/>
      <c r="E258" s="24"/>
      <c r="F258" s="24"/>
      <c r="G258" s="29"/>
      <c r="H258" s="24"/>
    </row>
    <row r="259" spans="2:8" x14ac:dyDescent="0.25">
      <c r="B259" s="21" t="str" cm="1">
        <f t="array" aca="1" ref="B2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59" s="22" t="str" cm="1">
        <f t="array" aca="1" ref="C2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A259, "'!C:C")),"NOK"))&gt;0, "NOK", "Pending....")),"")</f>
        <v/>
      </c>
      <c r="D259" s="24"/>
      <c r="E259" s="24"/>
      <c r="F259" s="24"/>
      <c r="G259" s="29"/>
      <c r="H259" s="24"/>
    </row>
    <row r="260" spans="2:8" x14ac:dyDescent="0.25">
      <c r="B260" s="21" t="str" cm="1">
        <f t="array" aca="1" ref="B2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0" s="22" t="str" cm="1">
        <f t="array" aca="1" ref="C2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A260, "'!C:C")),"NOK"))&gt;0, "NOK", "Pending....")),"")</f>
        <v/>
      </c>
      <c r="D260" s="24"/>
      <c r="E260" s="24"/>
      <c r="F260" s="24"/>
      <c r="G260" s="29"/>
      <c r="H260" s="24"/>
    </row>
    <row r="261" spans="2:8" x14ac:dyDescent="0.25">
      <c r="B261" s="21" t="str" cm="1">
        <f t="array" aca="1" ref="B2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1" s="22" t="str" cm="1">
        <f t="array" aca="1" ref="C2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A261, "'!C:C")),"NOK"))&gt;0, "NOK", "Pending....")),"")</f>
        <v/>
      </c>
      <c r="D261" s="24"/>
      <c r="E261" s="24"/>
      <c r="F261" s="24"/>
      <c r="G261" s="29"/>
      <c r="H261" s="24"/>
    </row>
    <row r="262" spans="2:8" x14ac:dyDescent="0.25">
      <c r="B262" s="21" t="str" cm="1">
        <f t="array" aca="1" ref="B2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2" s="22" t="str" cm="1">
        <f t="array" aca="1" ref="C2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A262, "'!C:C")),"NOK"))&gt;0, "NOK", "Pending....")),"")</f>
        <v/>
      </c>
      <c r="D262" s="24"/>
      <c r="E262" s="24"/>
      <c r="F262" s="24"/>
      <c r="G262" s="29"/>
      <c r="H262" s="24"/>
    </row>
    <row r="263" spans="2:8" x14ac:dyDescent="0.25">
      <c r="B263" s="21" t="str" cm="1">
        <f t="array" aca="1" ref="B2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3" s="22" t="str" cm="1">
        <f t="array" aca="1" ref="C2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A263, "'!C:C")),"NOK"))&gt;0, "NOK", "Pending....")),"")</f>
        <v/>
      </c>
      <c r="D263" s="24"/>
      <c r="E263" s="24"/>
      <c r="F263" s="24"/>
      <c r="G263" s="29"/>
      <c r="H263" s="24"/>
    </row>
    <row r="264" spans="2:8" x14ac:dyDescent="0.25">
      <c r="B264" s="21" t="str" cm="1">
        <f t="array" aca="1" ref="B2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4" s="22" t="str" cm="1">
        <f t="array" aca="1" ref="C2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A264, "'!C:C")),"NOK"))&gt;0, "NOK", "Pending....")),"")</f>
        <v/>
      </c>
      <c r="D264" s="24"/>
      <c r="E264" s="24"/>
      <c r="F264" s="24"/>
      <c r="G264" s="29"/>
      <c r="H264" s="24"/>
    </row>
    <row r="265" spans="2:8" x14ac:dyDescent="0.25">
      <c r="B265" s="21" t="str" cm="1">
        <f t="array" aca="1" ref="B2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5" s="22" t="str" cm="1">
        <f t="array" aca="1" ref="C2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A265, "'!C:C")),"NOK"))&gt;0, "NOK", "Pending....")),"")</f>
        <v/>
      </c>
      <c r="D265" s="24"/>
      <c r="E265" s="24"/>
      <c r="F265" s="24"/>
      <c r="G265" s="29"/>
      <c r="H265" s="24"/>
    </row>
    <row r="266" spans="2:8" x14ac:dyDescent="0.25">
      <c r="B266" s="21" t="str" cm="1">
        <f t="array" aca="1" ref="B2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6" s="22" t="str" cm="1">
        <f t="array" aca="1" ref="C2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A266, "'!C:C")),"NOK"))&gt;0, "NOK", "Pending....")),"")</f>
        <v/>
      </c>
      <c r="D266" s="24"/>
      <c r="E266" s="24"/>
      <c r="F266" s="24"/>
      <c r="G266" s="29"/>
      <c r="H266" s="24"/>
    </row>
    <row r="267" spans="2:8" x14ac:dyDescent="0.25">
      <c r="B267" s="21" t="str" cm="1">
        <f t="array" aca="1" ref="B2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7" s="22" t="str" cm="1">
        <f t="array" aca="1" ref="C2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A267, "'!C:C")),"NOK"))&gt;0, "NOK", "Pending....")),"")</f>
        <v/>
      </c>
      <c r="D267" s="24"/>
      <c r="E267" s="24"/>
      <c r="F267" s="24"/>
      <c r="G267" s="29"/>
      <c r="H267" s="24"/>
    </row>
    <row r="268" spans="2:8" x14ac:dyDescent="0.25">
      <c r="B268" s="21" t="str" cm="1">
        <f t="array" aca="1" ref="B2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8" s="22" t="str" cm="1">
        <f t="array" aca="1" ref="C2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A268, "'!C:C")),"NOK"))&gt;0, "NOK", "Pending....")),"")</f>
        <v/>
      </c>
      <c r="D268" s="24"/>
      <c r="E268" s="24"/>
      <c r="F268" s="24"/>
      <c r="G268" s="29"/>
      <c r="H268" s="24"/>
    </row>
    <row r="269" spans="2:8" x14ac:dyDescent="0.25">
      <c r="B269" s="21" t="str" cm="1">
        <f t="array" aca="1" ref="B2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69" s="22" t="str" cm="1">
        <f t="array" aca="1" ref="C2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A269, "'!C:C")),"NOK"))&gt;0, "NOK", "Pending....")),"")</f>
        <v/>
      </c>
      <c r="D269" s="24"/>
      <c r="E269" s="24"/>
      <c r="F269" s="24"/>
      <c r="G269" s="29"/>
      <c r="H269" s="24"/>
    </row>
    <row r="270" spans="2:8" x14ac:dyDescent="0.25">
      <c r="B270" s="21" t="str" cm="1">
        <f t="array" aca="1" ref="B2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0" s="22" t="str" cm="1">
        <f t="array" aca="1" ref="C2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A270, "'!C:C")),"NOK"))&gt;0, "NOK", "Pending....")),"")</f>
        <v/>
      </c>
      <c r="D270" s="24"/>
      <c r="E270" s="24"/>
      <c r="F270" s="24"/>
      <c r="G270" s="29"/>
      <c r="H270" s="24"/>
    </row>
    <row r="271" spans="2:8" x14ac:dyDescent="0.25">
      <c r="B271" s="21" t="str" cm="1">
        <f t="array" aca="1" ref="B2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1" s="22" t="str" cm="1">
        <f t="array" aca="1" ref="C2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A271, "'!C:C")),"NOK"))&gt;0, "NOK", "Pending....")),"")</f>
        <v/>
      </c>
      <c r="D271" s="24"/>
      <c r="E271" s="24"/>
      <c r="F271" s="24"/>
      <c r="G271" s="29"/>
      <c r="H271" s="24"/>
    </row>
    <row r="272" spans="2:8" x14ac:dyDescent="0.25">
      <c r="B272" s="21" t="str" cm="1">
        <f t="array" aca="1" ref="B2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2" s="22" t="str" cm="1">
        <f t="array" aca="1" ref="C2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A272, "'!C:C")),"NOK"))&gt;0, "NOK", "Pending....")),"")</f>
        <v/>
      </c>
      <c r="D272" s="24"/>
      <c r="E272" s="24"/>
      <c r="F272" s="24"/>
      <c r="G272" s="29"/>
      <c r="H272" s="24"/>
    </row>
    <row r="273" spans="2:8" x14ac:dyDescent="0.25">
      <c r="B273" s="21" t="str" cm="1">
        <f t="array" aca="1" ref="B2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3" s="22" t="str" cm="1">
        <f t="array" aca="1" ref="C2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A273, "'!C:C")),"NOK"))&gt;0, "NOK", "Pending....")),"")</f>
        <v/>
      </c>
      <c r="D273" s="24"/>
      <c r="E273" s="24"/>
      <c r="F273" s="24"/>
      <c r="G273" s="29"/>
      <c r="H273" s="24"/>
    </row>
    <row r="274" spans="2:8" x14ac:dyDescent="0.25">
      <c r="B274" s="21" t="str" cm="1">
        <f t="array" aca="1" ref="B2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4" s="22" t="str" cm="1">
        <f t="array" aca="1" ref="C2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A274, "'!C:C")),"NOK"))&gt;0, "NOK", "Pending....")),"")</f>
        <v/>
      </c>
      <c r="D274" s="24"/>
      <c r="E274" s="24"/>
      <c r="F274" s="24"/>
      <c r="G274" s="29"/>
      <c r="H274" s="24"/>
    </row>
    <row r="275" spans="2:8" x14ac:dyDescent="0.25">
      <c r="B275" s="21" t="str" cm="1">
        <f t="array" aca="1" ref="B2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5" s="22" t="str" cm="1">
        <f t="array" aca="1" ref="C2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A275, "'!C:C")),"NOK"))&gt;0, "NOK", "Pending....")),"")</f>
        <v/>
      </c>
      <c r="D275" s="24"/>
      <c r="E275" s="24"/>
      <c r="F275" s="24"/>
      <c r="G275" s="29"/>
      <c r="H275" s="24"/>
    </row>
    <row r="276" spans="2:8" x14ac:dyDescent="0.25">
      <c r="B276" s="21" t="str" cm="1">
        <f t="array" aca="1" ref="B2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6" s="22" t="str" cm="1">
        <f t="array" aca="1" ref="C2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A276, "'!C:C")),"NOK"))&gt;0, "NOK", "Pending....")),"")</f>
        <v/>
      </c>
      <c r="D276" s="24"/>
      <c r="E276" s="24"/>
      <c r="F276" s="24"/>
      <c r="G276" s="29"/>
      <c r="H276" s="24"/>
    </row>
    <row r="277" spans="2:8" x14ac:dyDescent="0.25">
      <c r="B277" s="21" t="str" cm="1">
        <f t="array" aca="1" ref="B2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7" s="22" t="str" cm="1">
        <f t="array" aca="1" ref="C2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A277, "'!C:C")),"NOK"))&gt;0, "NOK", "Pending....")),"")</f>
        <v/>
      </c>
      <c r="D277" s="24"/>
      <c r="E277" s="24"/>
      <c r="F277" s="24"/>
      <c r="G277" s="29"/>
      <c r="H277" s="24"/>
    </row>
    <row r="278" spans="2:8" x14ac:dyDescent="0.25">
      <c r="B278" s="21" t="str" cm="1">
        <f t="array" aca="1" ref="B2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8" s="22" t="str" cm="1">
        <f t="array" aca="1" ref="C2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A278, "'!C:C")),"NOK"))&gt;0, "NOK", "Pending....")),"")</f>
        <v/>
      </c>
      <c r="D278" s="24"/>
      <c r="E278" s="24"/>
      <c r="F278" s="24"/>
      <c r="G278" s="29"/>
      <c r="H278" s="24"/>
    </row>
    <row r="279" spans="2:8" x14ac:dyDescent="0.25">
      <c r="B279" s="21" t="str" cm="1">
        <f t="array" aca="1" ref="B2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79" s="22" t="str" cm="1">
        <f t="array" aca="1" ref="C2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A279, "'!C:C")),"NOK"))&gt;0, "NOK", "Pending....")),"")</f>
        <v/>
      </c>
      <c r="D279" s="24"/>
      <c r="E279" s="24"/>
      <c r="F279" s="24"/>
      <c r="G279" s="29"/>
      <c r="H279" s="24"/>
    </row>
    <row r="280" spans="2:8" x14ac:dyDescent="0.25">
      <c r="B280" s="21" t="str" cm="1">
        <f t="array" aca="1" ref="B2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0" s="22" t="str" cm="1">
        <f t="array" aca="1" ref="C2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A280, "'!C:C")),"NOK"))&gt;0, "NOK", "Pending....")),"")</f>
        <v/>
      </c>
      <c r="D280" s="24"/>
      <c r="E280" s="24"/>
      <c r="F280" s="24"/>
      <c r="G280" s="29"/>
      <c r="H280" s="24"/>
    </row>
    <row r="281" spans="2:8" x14ac:dyDescent="0.25">
      <c r="B281" s="21" t="str" cm="1">
        <f t="array" aca="1" ref="B2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1" s="22" t="str" cm="1">
        <f t="array" aca="1" ref="C2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A281, "'!C:C")),"NOK"))&gt;0, "NOK", "Pending....")),"")</f>
        <v/>
      </c>
      <c r="D281" s="24"/>
      <c r="E281" s="24"/>
      <c r="F281" s="24"/>
      <c r="G281" s="29"/>
      <c r="H281" s="24"/>
    </row>
    <row r="282" spans="2:8" x14ac:dyDescent="0.25">
      <c r="B282" s="21" t="str" cm="1">
        <f t="array" aca="1" ref="B2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2" s="22" t="str" cm="1">
        <f t="array" aca="1" ref="C2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A282, "'!C:C")),"NOK"))&gt;0, "NOK", "Pending....")),"")</f>
        <v/>
      </c>
      <c r="D282" s="24"/>
      <c r="E282" s="24"/>
      <c r="F282" s="24"/>
      <c r="G282" s="29"/>
      <c r="H282" s="24"/>
    </row>
    <row r="283" spans="2:8" x14ac:dyDescent="0.25">
      <c r="B283" s="21" t="str" cm="1">
        <f t="array" aca="1" ref="B2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3" s="22" t="str" cm="1">
        <f t="array" aca="1" ref="C2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A283, "'!C:C")),"NOK"))&gt;0, "NOK", "Pending....")),"")</f>
        <v/>
      </c>
      <c r="D283" s="24"/>
      <c r="E283" s="24"/>
      <c r="F283" s="24"/>
      <c r="G283" s="29"/>
      <c r="H283" s="24"/>
    </row>
    <row r="284" spans="2:8" x14ac:dyDescent="0.25">
      <c r="B284" s="21" t="str" cm="1">
        <f t="array" aca="1" ref="B2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4" s="22" t="str" cm="1">
        <f t="array" aca="1" ref="C2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A284, "'!C:C")),"NOK"))&gt;0, "NOK", "Pending....")),"")</f>
        <v/>
      </c>
      <c r="D284" s="24"/>
      <c r="E284" s="24"/>
      <c r="F284" s="24"/>
      <c r="G284" s="29"/>
      <c r="H284" s="24"/>
    </row>
    <row r="285" spans="2:8" x14ac:dyDescent="0.25">
      <c r="B285" s="21" t="str" cm="1">
        <f t="array" aca="1" ref="B2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5" s="22" t="str" cm="1">
        <f t="array" aca="1" ref="C2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A285, "'!C:C")),"NOK"))&gt;0, "NOK", "Pending....")),"")</f>
        <v/>
      </c>
      <c r="D285" s="24"/>
      <c r="E285" s="24"/>
      <c r="F285" s="24"/>
      <c r="G285" s="29"/>
      <c r="H285" s="24"/>
    </row>
    <row r="286" spans="2:8" x14ac:dyDescent="0.25">
      <c r="B286" s="21" t="str" cm="1">
        <f t="array" aca="1" ref="B2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6" s="22" t="str" cm="1">
        <f t="array" aca="1" ref="C2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A286, "'!C:C")),"NOK"))&gt;0, "NOK", "Pending....")),"")</f>
        <v/>
      </c>
      <c r="D286" s="24"/>
      <c r="E286" s="24"/>
      <c r="F286" s="24"/>
      <c r="G286" s="29"/>
      <c r="H286" s="24"/>
    </row>
    <row r="287" spans="2:8" x14ac:dyDescent="0.25">
      <c r="B287" s="21" t="str" cm="1">
        <f t="array" aca="1" ref="B2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7" s="22" t="str" cm="1">
        <f t="array" aca="1" ref="C2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A287, "'!C:C")),"NOK"))&gt;0, "NOK", "Pending....")),"")</f>
        <v/>
      </c>
      <c r="D287" s="24"/>
      <c r="E287" s="24"/>
      <c r="F287" s="24"/>
      <c r="G287" s="29"/>
      <c r="H287" s="24"/>
    </row>
    <row r="288" spans="2:8" x14ac:dyDescent="0.25">
      <c r="B288" s="21" t="str" cm="1">
        <f t="array" aca="1" ref="B2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8" s="22" t="str" cm="1">
        <f t="array" aca="1" ref="C2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A288, "'!C:C")),"NOK"))&gt;0, "NOK", "Pending....")),"")</f>
        <v/>
      </c>
      <c r="D288" s="24"/>
      <c r="E288" s="24"/>
      <c r="F288" s="24"/>
      <c r="G288" s="29"/>
      <c r="H288" s="24"/>
    </row>
    <row r="289" spans="2:8" x14ac:dyDescent="0.25">
      <c r="B289" s="21" t="str" cm="1">
        <f t="array" aca="1" ref="B2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89" s="22" t="str" cm="1">
        <f t="array" aca="1" ref="C2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A289, "'!C:C")),"NOK"))&gt;0, "NOK", "Pending....")),"")</f>
        <v/>
      </c>
      <c r="D289" s="24"/>
      <c r="E289" s="24"/>
      <c r="F289" s="24"/>
      <c r="G289" s="29"/>
      <c r="H289" s="24"/>
    </row>
    <row r="290" spans="2:8" x14ac:dyDescent="0.25">
      <c r="B290" s="21" t="str" cm="1">
        <f t="array" aca="1" ref="B2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0" s="22" t="str" cm="1">
        <f t="array" aca="1" ref="C2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A290, "'!C:C")),"NOK"))&gt;0, "NOK", "Pending....")),"")</f>
        <v/>
      </c>
      <c r="D290" s="24"/>
      <c r="E290" s="24"/>
      <c r="F290" s="24"/>
      <c r="G290" s="29"/>
      <c r="H290" s="24"/>
    </row>
    <row r="291" spans="2:8" x14ac:dyDescent="0.25">
      <c r="B291" s="21" t="str" cm="1">
        <f t="array" aca="1" ref="B2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1" s="22" t="str" cm="1">
        <f t="array" aca="1" ref="C2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A291, "'!C:C")),"NOK"))&gt;0, "NOK", "Pending....")),"")</f>
        <v/>
      </c>
      <c r="D291" s="24"/>
      <c r="E291" s="24"/>
      <c r="F291" s="24"/>
      <c r="G291" s="29"/>
      <c r="H291" s="24"/>
    </row>
    <row r="292" spans="2:8" x14ac:dyDescent="0.25">
      <c r="B292" s="21" t="str" cm="1">
        <f t="array" aca="1" ref="B2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2" s="22" t="str" cm="1">
        <f t="array" aca="1" ref="C2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A292, "'!C:C")),"NOK"))&gt;0, "NOK", "Pending....")),"")</f>
        <v/>
      </c>
      <c r="D292" s="24"/>
      <c r="E292" s="24"/>
      <c r="F292" s="24"/>
      <c r="G292" s="29"/>
      <c r="H292" s="24"/>
    </row>
    <row r="293" spans="2:8" x14ac:dyDescent="0.25">
      <c r="B293" s="21" t="str" cm="1">
        <f t="array" aca="1" ref="B2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3" s="22" t="str" cm="1">
        <f t="array" aca="1" ref="C2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A293, "'!C:C")),"NOK"))&gt;0, "NOK", "Pending....")),"")</f>
        <v/>
      </c>
      <c r="D293" s="24"/>
      <c r="E293" s="24"/>
      <c r="F293" s="24"/>
      <c r="G293" s="29"/>
      <c r="H293" s="24"/>
    </row>
    <row r="294" spans="2:8" x14ac:dyDescent="0.25">
      <c r="B294" s="21" t="str" cm="1">
        <f t="array" aca="1" ref="B2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4" s="22" t="str" cm="1">
        <f t="array" aca="1" ref="C2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A294, "'!C:C")),"NOK"))&gt;0, "NOK", "Pending....")),"")</f>
        <v/>
      </c>
      <c r="D294" s="24"/>
      <c r="E294" s="24"/>
      <c r="F294" s="24"/>
      <c r="G294" s="29"/>
      <c r="H294" s="24"/>
    </row>
    <row r="295" spans="2:8" x14ac:dyDescent="0.25">
      <c r="B295" s="21" t="str" cm="1">
        <f t="array" aca="1" ref="B2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5" s="22" t="str" cm="1">
        <f t="array" aca="1" ref="C2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A295, "'!C:C")),"NOK"))&gt;0, "NOK", "Pending....")),"")</f>
        <v/>
      </c>
      <c r="D295" s="24"/>
      <c r="E295" s="24"/>
      <c r="F295" s="24"/>
      <c r="G295" s="29"/>
      <c r="H295" s="24"/>
    </row>
    <row r="296" spans="2:8" x14ac:dyDescent="0.25">
      <c r="B296" s="21" t="str" cm="1">
        <f t="array" aca="1" ref="B2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6" s="22" t="str" cm="1">
        <f t="array" aca="1" ref="C2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A296, "'!C:C")),"NOK"))&gt;0, "NOK", "Pending....")),"")</f>
        <v/>
      </c>
      <c r="D296" s="24"/>
      <c r="E296" s="24"/>
      <c r="F296" s="24"/>
      <c r="G296" s="29"/>
      <c r="H296" s="24"/>
    </row>
    <row r="297" spans="2:8" x14ac:dyDescent="0.25">
      <c r="B297" s="21" t="str" cm="1">
        <f t="array" aca="1" ref="B2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7" s="22" t="str" cm="1">
        <f t="array" aca="1" ref="C2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A297, "'!C:C")),"NOK"))&gt;0, "NOK", "Pending....")),"")</f>
        <v/>
      </c>
      <c r="D297" s="24"/>
      <c r="E297" s="24"/>
      <c r="F297" s="24"/>
      <c r="G297" s="29"/>
      <c r="H297" s="24"/>
    </row>
    <row r="298" spans="2:8" x14ac:dyDescent="0.25">
      <c r="B298" s="21" t="str" cm="1">
        <f t="array" aca="1" ref="B2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8" s="22" t="str" cm="1">
        <f t="array" aca="1" ref="C2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A298, "'!C:C")),"NOK"))&gt;0, "NOK", "Pending....")),"")</f>
        <v/>
      </c>
      <c r="D298" s="24"/>
      <c r="E298" s="24"/>
      <c r="F298" s="24"/>
      <c r="G298" s="29"/>
      <c r="H298" s="24"/>
    </row>
    <row r="299" spans="2:8" x14ac:dyDescent="0.25">
      <c r="B299" s="21" t="str" cm="1">
        <f t="array" aca="1" ref="B2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299" s="22" t="str" cm="1">
        <f t="array" aca="1" ref="C2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A299, "'!C:C")),"NOK"))&gt;0, "NOK", "Pending....")),"")</f>
        <v/>
      </c>
      <c r="D299" s="24"/>
      <c r="E299" s="24"/>
      <c r="F299" s="24"/>
      <c r="G299" s="29"/>
      <c r="H299" s="24"/>
    </row>
    <row r="300" spans="2:8" x14ac:dyDescent="0.25">
      <c r="B300" s="21" t="str" cm="1">
        <f t="array" aca="1" ref="B3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0" s="22" t="str" cm="1">
        <f t="array" aca="1" ref="C3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A300, "'!C:C")),"NOK"))&gt;0, "NOK", "Pending....")),"")</f>
        <v/>
      </c>
      <c r="D300" s="24"/>
      <c r="E300" s="24"/>
      <c r="F300" s="24"/>
      <c r="G300" s="29"/>
      <c r="H300" s="24"/>
    </row>
    <row r="301" spans="2:8" x14ac:dyDescent="0.25">
      <c r="B301" s="21" t="str" cm="1">
        <f t="array" aca="1" ref="B3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1" s="22" t="str" cm="1">
        <f t="array" aca="1" ref="C3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A301, "'!C:C")),"NOK"))&gt;0, "NOK", "Pending....")),"")</f>
        <v/>
      </c>
      <c r="D301" s="24"/>
      <c r="E301" s="24"/>
      <c r="F301" s="24"/>
      <c r="G301" s="29"/>
      <c r="H301" s="24"/>
    </row>
    <row r="302" spans="2:8" x14ac:dyDescent="0.25">
      <c r="B302" s="21" t="str" cm="1">
        <f t="array" aca="1" ref="B3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2" s="22" t="str" cm="1">
        <f t="array" aca="1" ref="C3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A302, "'!C:C")),"NOK"))&gt;0, "NOK", "Pending....")),"")</f>
        <v/>
      </c>
      <c r="D302" s="24"/>
      <c r="E302" s="24"/>
      <c r="F302" s="24"/>
      <c r="G302" s="29"/>
      <c r="H302" s="24"/>
    </row>
    <row r="303" spans="2:8" x14ac:dyDescent="0.25">
      <c r="B303" s="21" t="str" cm="1">
        <f t="array" aca="1" ref="B3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3" s="22" t="str" cm="1">
        <f t="array" aca="1" ref="C3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A303, "'!C:C")),"NOK"))&gt;0, "NOK", "Pending....")),"")</f>
        <v/>
      </c>
      <c r="D303" s="24"/>
      <c r="E303" s="24"/>
      <c r="F303" s="24"/>
      <c r="G303" s="29"/>
      <c r="H303" s="24"/>
    </row>
    <row r="304" spans="2:8" x14ac:dyDescent="0.25">
      <c r="B304" s="21" t="str" cm="1">
        <f t="array" aca="1" ref="B3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4" s="22" t="str" cm="1">
        <f t="array" aca="1" ref="C3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A304, "'!C:C")),"NOK"))&gt;0, "NOK", "Pending....")),"")</f>
        <v/>
      </c>
      <c r="D304" s="24"/>
      <c r="E304" s="24"/>
      <c r="F304" s="24"/>
      <c r="G304" s="29"/>
      <c r="H304" s="24"/>
    </row>
    <row r="305" spans="2:8" x14ac:dyDescent="0.25">
      <c r="B305" s="21" t="str" cm="1">
        <f t="array" aca="1" ref="B3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5" s="22" t="str" cm="1">
        <f t="array" aca="1" ref="C3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A305, "'!C:C")),"NOK"))&gt;0, "NOK", "Pending....")),"")</f>
        <v/>
      </c>
      <c r="D305" s="24"/>
      <c r="E305" s="24"/>
      <c r="F305" s="24"/>
      <c r="G305" s="29"/>
      <c r="H305" s="24"/>
    </row>
    <row r="306" spans="2:8" x14ac:dyDescent="0.25">
      <c r="B306" s="21" t="str" cm="1">
        <f t="array" aca="1" ref="B3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6" s="22" t="str" cm="1">
        <f t="array" aca="1" ref="C3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A306, "'!C:C")),"NOK"))&gt;0, "NOK", "Pending....")),"")</f>
        <v/>
      </c>
      <c r="D306" s="24"/>
      <c r="E306" s="24"/>
      <c r="F306" s="24"/>
      <c r="G306" s="29"/>
      <c r="H306" s="24"/>
    </row>
    <row r="307" spans="2:8" x14ac:dyDescent="0.25">
      <c r="B307" s="21" t="str" cm="1">
        <f t="array" aca="1" ref="B3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7" s="22" t="str" cm="1">
        <f t="array" aca="1" ref="C3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A307, "'!C:C")),"NOK"))&gt;0, "NOK", "Pending....")),"")</f>
        <v/>
      </c>
      <c r="D307" s="24"/>
      <c r="E307" s="24"/>
      <c r="F307" s="24"/>
      <c r="G307" s="29"/>
      <c r="H307" s="24"/>
    </row>
    <row r="308" spans="2:8" x14ac:dyDescent="0.25">
      <c r="B308" s="21" t="str" cm="1">
        <f t="array" aca="1" ref="B3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8" s="22" t="str" cm="1">
        <f t="array" aca="1" ref="C3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A308, "'!C:C")),"NOK"))&gt;0, "NOK", "Pending....")),"")</f>
        <v/>
      </c>
      <c r="D308" s="24"/>
      <c r="E308" s="24"/>
      <c r="F308" s="24"/>
      <c r="G308" s="29"/>
      <c r="H308" s="24"/>
    </row>
    <row r="309" spans="2:8" x14ac:dyDescent="0.25">
      <c r="B309" s="21" t="str" cm="1">
        <f t="array" aca="1" ref="B3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09" s="22" t="str" cm="1">
        <f t="array" aca="1" ref="C3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A309, "'!C:C")),"NOK"))&gt;0, "NOK", "Pending....")),"")</f>
        <v/>
      </c>
      <c r="D309" s="24"/>
      <c r="E309" s="24"/>
      <c r="F309" s="24"/>
      <c r="G309" s="29"/>
      <c r="H309" s="24"/>
    </row>
    <row r="310" spans="2:8" x14ac:dyDescent="0.25">
      <c r="B310" s="21" t="str" cm="1">
        <f t="array" aca="1" ref="B3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0" s="22" t="str" cm="1">
        <f t="array" aca="1" ref="C3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A310, "'!C:C")),"NOK"))&gt;0, "NOK", "Pending....")),"")</f>
        <v/>
      </c>
      <c r="D310" s="24"/>
      <c r="E310" s="24"/>
      <c r="F310" s="24"/>
      <c r="G310" s="29"/>
      <c r="H310" s="24"/>
    </row>
    <row r="311" spans="2:8" x14ac:dyDescent="0.25">
      <c r="B311" s="21" t="str" cm="1">
        <f t="array" aca="1" ref="B3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1" s="22" t="str" cm="1">
        <f t="array" aca="1" ref="C3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A311, "'!C:C")),"NOK"))&gt;0, "NOK", "Pending....")),"")</f>
        <v/>
      </c>
      <c r="D311" s="24"/>
      <c r="E311" s="24"/>
      <c r="F311" s="24"/>
      <c r="G311" s="29"/>
      <c r="H311" s="24"/>
    </row>
    <row r="312" spans="2:8" x14ac:dyDescent="0.25">
      <c r="B312" s="21" t="str" cm="1">
        <f t="array" aca="1" ref="B3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2" s="22" t="str" cm="1">
        <f t="array" aca="1" ref="C3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A312, "'!C:C")),"NOK"))&gt;0, "NOK", "Pending....")),"")</f>
        <v/>
      </c>
      <c r="D312" s="24"/>
      <c r="E312" s="24"/>
      <c r="F312" s="24"/>
      <c r="G312" s="29"/>
      <c r="H312" s="24"/>
    </row>
    <row r="313" spans="2:8" x14ac:dyDescent="0.25">
      <c r="B313" s="21" t="str" cm="1">
        <f t="array" aca="1" ref="B3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3" s="22" t="str" cm="1">
        <f t="array" aca="1" ref="C3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A313, "'!C:C")),"NOK"))&gt;0, "NOK", "Pending....")),"")</f>
        <v/>
      </c>
      <c r="D313" s="24"/>
      <c r="E313" s="24"/>
      <c r="F313" s="24"/>
      <c r="G313" s="29"/>
      <c r="H313" s="24"/>
    </row>
    <row r="314" spans="2:8" x14ac:dyDescent="0.25">
      <c r="B314" s="21" t="str" cm="1">
        <f t="array" aca="1" ref="B3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4" s="22" t="str" cm="1">
        <f t="array" aca="1" ref="C3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A314, "'!C:C")),"NOK"))&gt;0, "NOK", "Pending....")),"")</f>
        <v/>
      </c>
      <c r="D314" s="24"/>
      <c r="E314" s="24"/>
      <c r="F314" s="24"/>
      <c r="G314" s="29"/>
      <c r="H314" s="24"/>
    </row>
    <row r="315" spans="2:8" x14ac:dyDescent="0.25">
      <c r="B315" s="21" t="str" cm="1">
        <f t="array" aca="1" ref="B3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5" s="22" t="str" cm="1">
        <f t="array" aca="1" ref="C3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A315, "'!C:C")),"NOK"))&gt;0, "NOK", "Pending....")),"")</f>
        <v/>
      </c>
      <c r="D315" s="24"/>
      <c r="E315" s="24"/>
      <c r="F315" s="24"/>
      <c r="G315" s="29"/>
      <c r="H315" s="24"/>
    </row>
    <row r="316" spans="2:8" x14ac:dyDescent="0.25">
      <c r="B316" s="21" t="str" cm="1">
        <f t="array" aca="1" ref="B3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6" s="22" t="str" cm="1">
        <f t="array" aca="1" ref="C3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A316, "'!C:C")),"NOK"))&gt;0, "NOK", "Pending....")),"")</f>
        <v/>
      </c>
      <c r="D316" s="24"/>
      <c r="E316" s="24"/>
      <c r="F316" s="24"/>
      <c r="G316" s="29"/>
      <c r="H316" s="24"/>
    </row>
    <row r="317" spans="2:8" x14ac:dyDescent="0.25">
      <c r="B317" s="21" t="str" cm="1">
        <f t="array" aca="1" ref="B3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7" s="22" t="str" cm="1">
        <f t="array" aca="1" ref="C3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A317, "'!C:C")),"NOK"))&gt;0, "NOK", "Pending....")),"")</f>
        <v/>
      </c>
      <c r="D317" s="24"/>
      <c r="E317" s="24"/>
      <c r="F317" s="24"/>
      <c r="G317" s="29"/>
      <c r="H317" s="24"/>
    </row>
    <row r="318" spans="2:8" x14ac:dyDescent="0.25">
      <c r="B318" s="21" t="str" cm="1">
        <f t="array" aca="1" ref="B3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8" s="22" t="str" cm="1">
        <f t="array" aca="1" ref="C3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A318, "'!C:C")),"NOK"))&gt;0, "NOK", "Pending....")),"")</f>
        <v/>
      </c>
      <c r="D318" s="24"/>
      <c r="E318" s="24"/>
      <c r="F318" s="24"/>
      <c r="G318" s="29"/>
      <c r="H318" s="24"/>
    </row>
    <row r="319" spans="2:8" x14ac:dyDescent="0.25">
      <c r="B319" s="21" t="str" cm="1">
        <f t="array" aca="1" ref="B3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19" s="22" t="str" cm="1">
        <f t="array" aca="1" ref="C3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A319, "'!C:C")),"NOK"))&gt;0, "NOK", "Pending....")),"")</f>
        <v/>
      </c>
      <c r="D319" s="24"/>
      <c r="E319" s="24"/>
      <c r="F319" s="24"/>
      <c r="G319" s="29"/>
      <c r="H319" s="24"/>
    </row>
    <row r="320" spans="2:8" x14ac:dyDescent="0.25">
      <c r="B320" s="21" t="str" cm="1">
        <f t="array" aca="1" ref="B3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0" s="22" t="str" cm="1">
        <f t="array" aca="1" ref="C3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A320, "'!C:C")),"NOK"))&gt;0, "NOK", "Pending....")),"")</f>
        <v/>
      </c>
      <c r="D320" s="24"/>
      <c r="E320" s="24"/>
      <c r="F320" s="24"/>
      <c r="G320" s="29"/>
      <c r="H320" s="24"/>
    </row>
    <row r="321" spans="2:8" x14ac:dyDescent="0.25">
      <c r="B321" s="21" t="str" cm="1">
        <f t="array" aca="1" ref="B3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1" s="22" t="str" cm="1">
        <f t="array" aca="1" ref="C3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A321, "'!C:C")),"NOK"))&gt;0, "NOK", "Pending....")),"")</f>
        <v/>
      </c>
      <c r="D321" s="24"/>
      <c r="E321" s="24"/>
      <c r="F321" s="24"/>
      <c r="G321" s="29"/>
      <c r="H321" s="24"/>
    </row>
    <row r="322" spans="2:8" x14ac:dyDescent="0.25">
      <c r="B322" s="21" t="str" cm="1">
        <f t="array" aca="1" ref="B3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2" s="22" t="str" cm="1">
        <f t="array" aca="1" ref="C3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A322, "'!C:C")),"NOK"))&gt;0, "NOK", "Pending....")),"")</f>
        <v/>
      </c>
      <c r="D322" s="24"/>
      <c r="E322" s="24"/>
      <c r="F322" s="24"/>
      <c r="G322" s="29"/>
      <c r="H322" s="24"/>
    </row>
    <row r="323" spans="2:8" x14ac:dyDescent="0.25">
      <c r="B323" s="21" t="str" cm="1">
        <f t="array" aca="1" ref="B3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3" s="22" t="str" cm="1">
        <f t="array" aca="1" ref="C3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A323, "'!C:C")),"NOK"))&gt;0, "NOK", "Pending....")),"")</f>
        <v/>
      </c>
      <c r="D323" s="24"/>
      <c r="E323" s="24"/>
      <c r="F323" s="24"/>
      <c r="G323" s="29"/>
      <c r="H323" s="24"/>
    </row>
    <row r="324" spans="2:8" x14ac:dyDescent="0.25">
      <c r="B324" s="21" t="str" cm="1">
        <f t="array" aca="1" ref="B3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4" s="22" t="str" cm="1">
        <f t="array" aca="1" ref="C3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A324, "'!C:C")),"NOK"))&gt;0, "NOK", "Pending....")),"")</f>
        <v/>
      </c>
      <c r="D324" s="24"/>
      <c r="E324" s="24"/>
      <c r="F324" s="24"/>
      <c r="G324" s="29"/>
      <c r="H324" s="24"/>
    </row>
    <row r="325" spans="2:8" x14ac:dyDescent="0.25">
      <c r="B325" s="21" t="str" cm="1">
        <f t="array" aca="1" ref="B3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5" s="22" t="str" cm="1">
        <f t="array" aca="1" ref="C3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A325, "'!C:C")),"NOK"))&gt;0, "NOK", "Pending....")),"")</f>
        <v/>
      </c>
      <c r="D325" s="24"/>
      <c r="E325" s="24"/>
      <c r="F325" s="24"/>
      <c r="G325" s="29"/>
      <c r="H325" s="24"/>
    </row>
    <row r="326" spans="2:8" x14ac:dyDescent="0.25">
      <c r="B326" s="21" t="str" cm="1">
        <f t="array" aca="1" ref="B3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6" s="22" t="str" cm="1">
        <f t="array" aca="1" ref="C3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A326, "'!C:C")),"NOK"))&gt;0, "NOK", "Pending....")),"")</f>
        <v/>
      </c>
      <c r="D326" s="24"/>
      <c r="E326" s="24"/>
      <c r="F326" s="24"/>
      <c r="G326" s="29"/>
      <c r="H326" s="24"/>
    </row>
    <row r="327" spans="2:8" x14ac:dyDescent="0.25">
      <c r="B327" s="21" t="str" cm="1">
        <f t="array" aca="1" ref="B3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7" s="22" t="str" cm="1">
        <f t="array" aca="1" ref="C3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A327, "'!C:C")),"NOK"))&gt;0, "NOK", "Pending....")),"")</f>
        <v/>
      </c>
      <c r="D327" s="24"/>
      <c r="E327" s="24"/>
      <c r="F327" s="24"/>
      <c r="G327" s="29"/>
      <c r="H327" s="24"/>
    </row>
    <row r="328" spans="2:8" x14ac:dyDescent="0.25">
      <c r="B328" s="21" t="str" cm="1">
        <f t="array" aca="1" ref="B3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8" s="22" t="str" cm="1">
        <f t="array" aca="1" ref="C3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A328, "'!C:C")),"NOK"))&gt;0, "NOK", "Pending....")),"")</f>
        <v/>
      </c>
      <c r="D328" s="24"/>
      <c r="E328" s="24"/>
      <c r="F328" s="24"/>
      <c r="G328" s="29"/>
      <c r="H328" s="24"/>
    </row>
    <row r="329" spans="2:8" x14ac:dyDescent="0.25">
      <c r="B329" s="21" t="str" cm="1">
        <f t="array" aca="1" ref="B3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29" s="22" t="str" cm="1">
        <f t="array" aca="1" ref="C3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A329, "'!C:C")),"NOK"))&gt;0, "NOK", "Pending....")),"")</f>
        <v/>
      </c>
      <c r="D329" s="24"/>
      <c r="E329" s="24"/>
      <c r="F329" s="24"/>
      <c r="G329" s="29"/>
      <c r="H329" s="24"/>
    </row>
    <row r="330" spans="2:8" x14ac:dyDescent="0.25">
      <c r="B330" s="21" t="str" cm="1">
        <f t="array" aca="1" ref="B3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0" s="22" t="str" cm="1">
        <f t="array" aca="1" ref="C3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A330, "'!C:C")),"NOK"))&gt;0, "NOK", "Pending....")),"")</f>
        <v/>
      </c>
      <c r="D330" s="24"/>
      <c r="E330" s="24"/>
      <c r="F330" s="24"/>
      <c r="G330" s="29"/>
      <c r="H330" s="24"/>
    </row>
    <row r="331" spans="2:8" x14ac:dyDescent="0.25">
      <c r="B331" s="21" t="str" cm="1">
        <f t="array" aca="1" ref="B3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1" s="22" t="str" cm="1">
        <f t="array" aca="1" ref="C3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A331, "'!C:C")),"NOK"))&gt;0, "NOK", "Pending....")),"")</f>
        <v/>
      </c>
      <c r="D331" s="24"/>
      <c r="E331" s="24"/>
      <c r="F331" s="24"/>
      <c r="G331" s="29"/>
      <c r="H331" s="24"/>
    </row>
    <row r="332" spans="2:8" x14ac:dyDescent="0.25">
      <c r="B332" s="21" t="str" cm="1">
        <f t="array" aca="1" ref="B3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2" s="22" t="str" cm="1">
        <f t="array" aca="1" ref="C3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A332, "'!C:C")),"NOK"))&gt;0, "NOK", "Pending....")),"")</f>
        <v/>
      </c>
      <c r="D332" s="24"/>
      <c r="E332" s="24"/>
      <c r="F332" s="24"/>
      <c r="G332" s="29"/>
      <c r="H332" s="24"/>
    </row>
    <row r="333" spans="2:8" x14ac:dyDescent="0.25">
      <c r="B333" s="21" t="str" cm="1">
        <f t="array" aca="1" ref="B3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3" s="22" t="str" cm="1">
        <f t="array" aca="1" ref="C3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A333, "'!C:C")),"NOK"))&gt;0, "NOK", "Pending....")),"")</f>
        <v/>
      </c>
      <c r="D333" s="24"/>
      <c r="E333" s="24"/>
      <c r="F333" s="24"/>
      <c r="G333" s="29"/>
      <c r="H333" s="24"/>
    </row>
    <row r="334" spans="2:8" x14ac:dyDescent="0.25">
      <c r="B334" s="21" t="str" cm="1">
        <f t="array" aca="1" ref="B3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4" s="22" t="str" cm="1">
        <f t="array" aca="1" ref="C3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A334, "'!C:C")),"NOK"))&gt;0, "NOK", "Pending....")),"")</f>
        <v/>
      </c>
      <c r="D334" s="24"/>
      <c r="E334" s="24"/>
      <c r="F334" s="24"/>
      <c r="G334" s="29"/>
      <c r="H334" s="24"/>
    </row>
    <row r="335" spans="2:8" x14ac:dyDescent="0.25">
      <c r="B335" s="21" t="str" cm="1">
        <f t="array" aca="1" ref="B3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5" s="22" t="str" cm="1">
        <f t="array" aca="1" ref="C3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A335, "'!C:C")),"NOK"))&gt;0, "NOK", "Pending....")),"")</f>
        <v/>
      </c>
      <c r="D335" s="24"/>
      <c r="E335" s="24"/>
      <c r="F335" s="24"/>
      <c r="G335" s="29"/>
      <c r="H335" s="24"/>
    </row>
    <row r="336" spans="2:8" x14ac:dyDescent="0.25">
      <c r="B336" s="21" t="str" cm="1">
        <f t="array" aca="1" ref="B3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6" s="22" t="str" cm="1">
        <f t="array" aca="1" ref="C3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A336, "'!C:C")),"NOK"))&gt;0, "NOK", "Pending....")),"")</f>
        <v/>
      </c>
      <c r="D336" s="24"/>
      <c r="E336" s="24"/>
      <c r="F336" s="24"/>
      <c r="G336" s="29"/>
      <c r="H336" s="24"/>
    </row>
    <row r="337" spans="2:8" x14ac:dyDescent="0.25">
      <c r="B337" s="21" t="str" cm="1">
        <f t="array" aca="1" ref="B3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7" s="22" t="str" cm="1">
        <f t="array" aca="1" ref="C3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A337, "'!C:C")),"NOK"))&gt;0, "NOK", "Pending....")),"")</f>
        <v/>
      </c>
      <c r="D337" s="24"/>
      <c r="E337" s="24"/>
      <c r="F337" s="24"/>
      <c r="G337" s="29"/>
      <c r="H337" s="24"/>
    </row>
    <row r="338" spans="2:8" x14ac:dyDescent="0.25">
      <c r="B338" s="21" t="str" cm="1">
        <f t="array" aca="1" ref="B3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8" s="22" t="str" cm="1">
        <f t="array" aca="1" ref="C3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A338, "'!C:C")),"NOK"))&gt;0, "NOK", "Pending....")),"")</f>
        <v/>
      </c>
      <c r="D338" s="24"/>
      <c r="E338" s="24"/>
      <c r="F338" s="24"/>
      <c r="G338" s="29"/>
      <c r="H338" s="24"/>
    </row>
    <row r="339" spans="2:8" x14ac:dyDescent="0.25">
      <c r="B339" s="21" t="str" cm="1">
        <f t="array" aca="1" ref="B3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39" s="22" t="str" cm="1">
        <f t="array" aca="1" ref="C3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A339, "'!C:C")),"NOK"))&gt;0, "NOK", "Pending....")),"")</f>
        <v/>
      </c>
      <c r="D339" s="24"/>
      <c r="E339" s="24"/>
      <c r="F339" s="24"/>
      <c r="G339" s="29"/>
      <c r="H339" s="24"/>
    </row>
    <row r="340" spans="2:8" x14ac:dyDescent="0.25">
      <c r="B340" s="21" t="str" cm="1">
        <f t="array" aca="1" ref="B3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0" s="22" t="str" cm="1">
        <f t="array" aca="1" ref="C3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A340, "'!C:C")),"NOK"))&gt;0, "NOK", "Pending....")),"")</f>
        <v/>
      </c>
      <c r="D340" s="24"/>
      <c r="E340" s="24"/>
      <c r="F340" s="24"/>
      <c r="G340" s="29"/>
      <c r="H340" s="24"/>
    </row>
    <row r="341" spans="2:8" x14ac:dyDescent="0.25">
      <c r="B341" s="21" t="str" cm="1">
        <f t="array" aca="1" ref="B3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1" s="22" t="str" cm="1">
        <f t="array" aca="1" ref="C3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A341, "'!C:C")),"NOK"))&gt;0, "NOK", "Pending....")),"")</f>
        <v/>
      </c>
      <c r="D341" s="24"/>
      <c r="E341" s="24"/>
      <c r="F341" s="24"/>
      <c r="G341" s="29"/>
      <c r="H341" s="24"/>
    </row>
    <row r="342" spans="2:8" x14ac:dyDescent="0.25">
      <c r="B342" s="21" t="str" cm="1">
        <f t="array" aca="1" ref="B3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2" s="22" t="str" cm="1">
        <f t="array" aca="1" ref="C3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A342, "'!C:C")),"NOK"))&gt;0, "NOK", "Pending....")),"")</f>
        <v/>
      </c>
      <c r="D342" s="24"/>
      <c r="E342" s="24"/>
      <c r="F342" s="24"/>
      <c r="G342" s="29"/>
      <c r="H342" s="24"/>
    </row>
    <row r="343" spans="2:8" x14ac:dyDescent="0.25">
      <c r="B343" s="21" t="str" cm="1">
        <f t="array" aca="1" ref="B3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3" s="22" t="str" cm="1">
        <f t="array" aca="1" ref="C3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A343, "'!C:C")),"NOK"))&gt;0, "NOK", "Pending....")),"")</f>
        <v/>
      </c>
      <c r="D343" s="24"/>
      <c r="E343" s="24"/>
      <c r="F343" s="24"/>
      <c r="G343" s="29"/>
      <c r="H343" s="24"/>
    </row>
    <row r="344" spans="2:8" x14ac:dyDescent="0.25">
      <c r="B344" s="21" t="str" cm="1">
        <f t="array" aca="1" ref="B3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4" s="22" t="str" cm="1">
        <f t="array" aca="1" ref="C3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A344, "'!C:C")),"NOK"))&gt;0, "NOK", "Pending....")),"")</f>
        <v/>
      </c>
      <c r="D344" s="24"/>
      <c r="E344" s="24"/>
      <c r="F344" s="24"/>
      <c r="G344" s="29"/>
      <c r="H344" s="24"/>
    </row>
    <row r="345" spans="2:8" x14ac:dyDescent="0.25">
      <c r="B345" s="21" t="str" cm="1">
        <f t="array" aca="1" ref="B3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5" s="22" t="str" cm="1">
        <f t="array" aca="1" ref="C3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A345, "'!C:C")),"NOK"))&gt;0, "NOK", "Pending....")),"")</f>
        <v/>
      </c>
      <c r="D345" s="24"/>
      <c r="E345" s="24"/>
      <c r="F345" s="24"/>
      <c r="G345" s="29"/>
      <c r="H345" s="24"/>
    </row>
    <row r="346" spans="2:8" x14ac:dyDescent="0.25">
      <c r="B346" s="21" t="str" cm="1">
        <f t="array" aca="1" ref="B3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6" s="22" t="str" cm="1">
        <f t="array" aca="1" ref="C3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A346, "'!C:C")),"NOK"))&gt;0, "NOK", "Pending....")),"")</f>
        <v/>
      </c>
      <c r="D346" s="24"/>
      <c r="E346" s="24"/>
      <c r="F346" s="24"/>
      <c r="G346" s="29"/>
      <c r="H346" s="24"/>
    </row>
    <row r="347" spans="2:8" x14ac:dyDescent="0.25">
      <c r="B347" s="21" t="str" cm="1">
        <f t="array" aca="1" ref="B3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7" s="22" t="str" cm="1">
        <f t="array" aca="1" ref="C3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A347, "'!C:C")),"NOK"))&gt;0, "NOK", "Pending....")),"")</f>
        <v/>
      </c>
      <c r="D347" s="24"/>
      <c r="E347" s="24"/>
      <c r="F347" s="24"/>
      <c r="G347" s="29"/>
      <c r="H347" s="24"/>
    </row>
    <row r="348" spans="2:8" x14ac:dyDescent="0.25">
      <c r="B348" s="21" t="str" cm="1">
        <f t="array" aca="1" ref="B3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8" s="22" t="str" cm="1">
        <f t="array" aca="1" ref="C3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A348, "'!C:C")),"NOK"))&gt;0, "NOK", "Pending....")),"")</f>
        <v/>
      </c>
      <c r="D348" s="24"/>
      <c r="E348" s="24"/>
      <c r="F348" s="24"/>
      <c r="G348" s="29"/>
      <c r="H348" s="24"/>
    </row>
    <row r="349" spans="2:8" x14ac:dyDescent="0.25">
      <c r="B349" s="21" t="str" cm="1">
        <f t="array" aca="1" ref="B3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49" s="22" t="str" cm="1">
        <f t="array" aca="1" ref="C3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A349, "'!C:C")),"NOK"))&gt;0, "NOK", "Pending....")),"")</f>
        <v/>
      </c>
      <c r="D349" s="24"/>
      <c r="E349" s="24"/>
      <c r="F349" s="24"/>
      <c r="G349" s="29"/>
      <c r="H349" s="24"/>
    </row>
    <row r="350" spans="2:8" x14ac:dyDescent="0.25">
      <c r="B350" s="21" t="str" cm="1">
        <f t="array" aca="1" ref="B3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0" s="22" t="str" cm="1">
        <f t="array" aca="1" ref="C3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A350, "'!C:C")),"NOK"))&gt;0, "NOK", "Pending....")),"")</f>
        <v/>
      </c>
      <c r="D350" s="24"/>
      <c r="E350" s="24"/>
      <c r="F350" s="24"/>
      <c r="G350" s="29"/>
      <c r="H350" s="24"/>
    </row>
    <row r="351" spans="2:8" x14ac:dyDescent="0.25">
      <c r="B351" s="21" t="str" cm="1">
        <f t="array" aca="1" ref="B3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1" s="22" t="str" cm="1">
        <f t="array" aca="1" ref="C3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A351, "'!C:C")),"NOK"))&gt;0, "NOK", "Pending....")),"")</f>
        <v/>
      </c>
      <c r="D351" s="24"/>
      <c r="E351" s="24"/>
      <c r="F351" s="24"/>
      <c r="G351" s="29"/>
      <c r="H351" s="24"/>
    </row>
    <row r="352" spans="2:8" x14ac:dyDescent="0.25">
      <c r="B352" s="21" t="str" cm="1">
        <f t="array" aca="1" ref="B3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2" s="22" t="str" cm="1">
        <f t="array" aca="1" ref="C3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A352, "'!C:C")),"NOK"))&gt;0, "NOK", "Pending....")),"")</f>
        <v/>
      </c>
      <c r="D352" s="24"/>
      <c r="E352" s="24"/>
      <c r="F352" s="24"/>
      <c r="G352" s="29"/>
      <c r="H352" s="24"/>
    </row>
    <row r="353" spans="2:8" x14ac:dyDescent="0.25">
      <c r="B353" s="21" t="str" cm="1">
        <f t="array" aca="1" ref="B3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3" s="22" t="str" cm="1">
        <f t="array" aca="1" ref="C3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A353, "'!C:C")),"NOK"))&gt;0, "NOK", "Pending....")),"")</f>
        <v/>
      </c>
      <c r="D353" s="24"/>
      <c r="E353" s="24"/>
      <c r="F353" s="24"/>
      <c r="G353" s="29"/>
      <c r="H353" s="24"/>
    </row>
    <row r="354" spans="2:8" x14ac:dyDescent="0.25">
      <c r="B354" s="21" t="str" cm="1">
        <f t="array" aca="1" ref="B3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4" s="22" t="str" cm="1">
        <f t="array" aca="1" ref="C3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A354, "'!C:C")),"NOK"))&gt;0, "NOK", "Pending....")),"")</f>
        <v/>
      </c>
      <c r="D354" s="24"/>
      <c r="E354" s="24"/>
      <c r="F354" s="24"/>
      <c r="G354" s="29"/>
      <c r="H354" s="24"/>
    </row>
    <row r="355" spans="2:8" x14ac:dyDescent="0.25">
      <c r="B355" s="21" t="str" cm="1">
        <f t="array" aca="1" ref="B3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5" s="22" t="str" cm="1">
        <f t="array" aca="1" ref="C3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A355, "'!C:C")),"NOK"))&gt;0, "NOK", "Pending....")),"")</f>
        <v/>
      </c>
      <c r="D355" s="24"/>
      <c r="E355" s="24"/>
      <c r="F355" s="24"/>
      <c r="G355" s="29"/>
      <c r="H355" s="24"/>
    </row>
    <row r="356" spans="2:8" x14ac:dyDescent="0.25">
      <c r="B356" s="21" t="str" cm="1">
        <f t="array" aca="1" ref="B3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6" s="22" t="str" cm="1">
        <f t="array" aca="1" ref="C3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A356, "'!C:C")),"NOK"))&gt;0, "NOK", "Pending....")),"")</f>
        <v/>
      </c>
      <c r="D356" s="24"/>
      <c r="E356" s="24"/>
      <c r="F356" s="24"/>
      <c r="G356" s="29"/>
      <c r="H356" s="24"/>
    </row>
    <row r="357" spans="2:8" x14ac:dyDescent="0.25">
      <c r="B357" s="21" t="str" cm="1">
        <f t="array" aca="1" ref="B3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7" s="22" t="str" cm="1">
        <f t="array" aca="1" ref="C3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A357, "'!C:C")),"NOK"))&gt;0, "NOK", "Pending....")),"")</f>
        <v/>
      </c>
      <c r="D357" s="24"/>
      <c r="E357" s="24"/>
      <c r="F357" s="24"/>
      <c r="G357" s="29"/>
      <c r="H357" s="24"/>
    </row>
    <row r="358" spans="2:8" x14ac:dyDescent="0.25">
      <c r="B358" s="21" t="str" cm="1">
        <f t="array" aca="1" ref="B3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8" s="22" t="str" cm="1">
        <f t="array" aca="1" ref="C3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A358, "'!C:C")),"NOK"))&gt;0, "NOK", "Pending....")),"")</f>
        <v/>
      </c>
      <c r="D358" s="24"/>
      <c r="E358" s="24"/>
      <c r="F358" s="24"/>
      <c r="G358" s="29"/>
      <c r="H358" s="24"/>
    </row>
    <row r="359" spans="2:8" x14ac:dyDescent="0.25">
      <c r="B359" s="21" t="str" cm="1">
        <f t="array" aca="1" ref="B3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59" s="22" t="str" cm="1">
        <f t="array" aca="1" ref="C3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A359, "'!C:C")),"NOK"))&gt;0, "NOK", "Pending....")),"")</f>
        <v/>
      </c>
      <c r="D359" s="24"/>
      <c r="E359" s="24"/>
      <c r="F359" s="24"/>
      <c r="G359" s="29"/>
      <c r="H359" s="24"/>
    </row>
    <row r="360" spans="2:8" x14ac:dyDescent="0.25">
      <c r="B360" s="21" t="str" cm="1">
        <f t="array" aca="1" ref="B3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0" s="22" t="str" cm="1">
        <f t="array" aca="1" ref="C3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A360, "'!C:C")),"NOK"))&gt;0, "NOK", "Pending....")),"")</f>
        <v/>
      </c>
      <c r="D360" s="24"/>
      <c r="E360" s="24"/>
      <c r="F360" s="24"/>
      <c r="G360" s="29"/>
      <c r="H360" s="24"/>
    </row>
    <row r="361" spans="2:8" x14ac:dyDescent="0.25">
      <c r="B361" s="21" t="str" cm="1">
        <f t="array" aca="1" ref="B3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1" s="22" t="str" cm="1">
        <f t="array" aca="1" ref="C3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A361, "'!C:C")),"NOK"))&gt;0, "NOK", "Pending....")),"")</f>
        <v/>
      </c>
      <c r="D361" s="24"/>
      <c r="E361" s="24"/>
      <c r="F361" s="24"/>
      <c r="G361" s="29"/>
      <c r="H361" s="24"/>
    </row>
    <row r="362" spans="2:8" x14ac:dyDescent="0.25">
      <c r="B362" s="21" t="str" cm="1">
        <f t="array" aca="1" ref="B3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2" s="22" t="str" cm="1">
        <f t="array" aca="1" ref="C3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A362, "'!C:C")),"NOK"))&gt;0, "NOK", "Pending....")),"")</f>
        <v/>
      </c>
      <c r="D362" s="24"/>
      <c r="E362" s="24"/>
      <c r="F362" s="24"/>
      <c r="G362" s="29"/>
      <c r="H362" s="24"/>
    </row>
    <row r="363" spans="2:8" x14ac:dyDescent="0.25">
      <c r="B363" s="21" t="str" cm="1">
        <f t="array" aca="1" ref="B3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3" s="22" t="str" cm="1">
        <f t="array" aca="1" ref="C3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A363, "'!C:C")),"NOK"))&gt;0, "NOK", "Pending....")),"")</f>
        <v/>
      </c>
      <c r="D363" s="24"/>
      <c r="E363" s="24"/>
      <c r="F363" s="24"/>
      <c r="G363" s="29"/>
      <c r="H363" s="24"/>
    </row>
    <row r="364" spans="2:8" x14ac:dyDescent="0.25">
      <c r="B364" s="21" t="str" cm="1">
        <f t="array" aca="1" ref="B3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4" s="22" t="str" cm="1">
        <f t="array" aca="1" ref="C3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A364, "'!C:C")),"NOK"))&gt;0, "NOK", "Pending....")),"")</f>
        <v/>
      </c>
      <c r="D364" s="24"/>
      <c r="E364" s="24"/>
      <c r="F364" s="24"/>
      <c r="G364" s="29"/>
      <c r="H364" s="24"/>
    </row>
    <row r="365" spans="2:8" x14ac:dyDescent="0.25">
      <c r="B365" s="21" t="str" cm="1">
        <f t="array" aca="1" ref="B3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5" s="22" t="str" cm="1">
        <f t="array" aca="1" ref="C3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A365, "'!C:C")),"NOK"))&gt;0, "NOK", "Pending....")),"")</f>
        <v/>
      </c>
      <c r="D365" s="24"/>
      <c r="E365" s="24"/>
      <c r="F365" s="24"/>
      <c r="G365" s="29"/>
      <c r="H365" s="24"/>
    </row>
    <row r="366" spans="2:8" x14ac:dyDescent="0.25">
      <c r="B366" s="21" t="str" cm="1">
        <f t="array" aca="1" ref="B3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6" s="22" t="str" cm="1">
        <f t="array" aca="1" ref="C3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A366, "'!C:C")),"NOK"))&gt;0, "NOK", "Pending....")),"")</f>
        <v/>
      </c>
      <c r="D366" s="24"/>
      <c r="E366" s="24"/>
      <c r="F366" s="24"/>
      <c r="G366" s="29"/>
      <c r="H366" s="24"/>
    </row>
    <row r="367" spans="2:8" x14ac:dyDescent="0.25">
      <c r="B367" s="21" t="str" cm="1">
        <f t="array" aca="1" ref="B3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7" s="22" t="str" cm="1">
        <f t="array" aca="1" ref="C3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A367, "'!C:C")),"NOK"))&gt;0, "NOK", "Pending....")),"")</f>
        <v/>
      </c>
      <c r="D367" s="24"/>
      <c r="E367" s="24"/>
      <c r="F367" s="24"/>
      <c r="G367" s="29"/>
      <c r="H367" s="24"/>
    </row>
    <row r="368" spans="2:8" x14ac:dyDescent="0.25">
      <c r="B368" s="21" t="str" cm="1">
        <f t="array" aca="1" ref="B3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8" s="22" t="str" cm="1">
        <f t="array" aca="1" ref="C3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A368, "'!C:C")),"NOK"))&gt;0, "NOK", "Pending....")),"")</f>
        <v/>
      </c>
      <c r="D368" s="24"/>
      <c r="E368" s="24"/>
      <c r="F368" s="24"/>
      <c r="G368" s="29"/>
      <c r="H368" s="24"/>
    </row>
    <row r="369" spans="2:8" x14ac:dyDescent="0.25">
      <c r="B369" s="21" t="str" cm="1">
        <f t="array" aca="1" ref="B3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69" s="22" t="str" cm="1">
        <f t="array" aca="1" ref="C3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A369, "'!C:C")),"NOK"))&gt;0, "NOK", "Pending....")),"")</f>
        <v/>
      </c>
      <c r="D369" s="24"/>
      <c r="E369" s="24"/>
      <c r="F369" s="24"/>
      <c r="G369" s="29"/>
      <c r="H369" s="24"/>
    </row>
    <row r="370" spans="2:8" x14ac:dyDescent="0.25">
      <c r="B370" s="21" t="str" cm="1">
        <f t="array" aca="1" ref="B3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0" s="22" t="str" cm="1">
        <f t="array" aca="1" ref="C3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A370, "'!C:C")),"NOK"))&gt;0, "NOK", "Pending....")),"")</f>
        <v/>
      </c>
      <c r="D370" s="24"/>
      <c r="E370" s="24"/>
      <c r="F370" s="24"/>
      <c r="G370" s="29"/>
      <c r="H370" s="24"/>
    </row>
    <row r="371" spans="2:8" x14ac:dyDescent="0.25">
      <c r="B371" s="21" t="str" cm="1">
        <f t="array" aca="1" ref="B3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1" s="22" t="str" cm="1">
        <f t="array" aca="1" ref="C3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A371, "'!C:C")),"NOK"))&gt;0, "NOK", "Pending....")),"")</f>
        <v/>
      </c>
      <c r="D371" s="24"/>
      <c r="E371" s="24"/>
      <c r="F371" s="24"/>
      <c r="G371" s="29"/>
      <c r="H371" s="24"/>
    </row>
    <row r="372" spans="2:8" x14ac:dyDescent="0.25">
      <c r="B372" s="21" t="str" cm="1">
        <f t="array" aca="1" ref="B3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2" s="22" t="str" cm="1">
        <f t="array" aca="1" ref="C3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A372, "'!C:C")),"NOK"))&gt;0, "NOK", "Pending....")),"")</f>
        <v/>
      </c>
      <c r="D372" s="24"/>
      <c r="E372" s="24"/>
      <c r="F372" s="24"/>
      <c r="G372" s="29"/>
      <c r="H372" s="24"/>
    </row>
    <row r="373" spans="2:8" x14ac:dyDescent="0.25">
      <c r="B373" s="21" t="str" cm="1">
        <f t="array" aca="1" ref="B3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3" s="22" t="str" cm="1">
        <f t="array" aca="1" ref="C3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A373, "'!C:C")),"NOK"))&gt;0, "NOK", "Pending....")),"")</f>
        <v/>
      </c>
      <c r="D373" s="24"/>
      <c r="E373" s="24"/>
      <c r="F373" s="24"/>
      <c r="G373" s="29"/>
      <c r="H373" s="24"/>
    </row>
    <row r="374" spans="2:8" x14ac:dyDescent="0.25">
      <c r="B374" s="21" t="str" cm="1">
        <f t="array" aca="1" ref="B3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4" s="22" t="str" cm="1">
        <f t="array" aca="1" ref="C3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A374, "'!C:C")),"NOK"))&gt;0, "NOK", "Pending....")),"")</f>
        <v/>
      </c>
      <c r="D374" s="24"/>
      <c r="E374" s="24"/>
      <c r="F374" s="24"/>
      <c r="G374" s="29"/>
      <c r="H374" s="24"/>
    </row>
    <row r="375" spans="2:8" x14ac:dyDescent="0.25">
      <c r="B375" s="21" t="str" cm="1">
        <f t="array" aca="1" ref="B3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5" s="22" t="str" cm="1">
        <f t="array" aca="1" ref="C3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A375, "'!C:C")),"NOK"))&gt;0, "NOK", "Pending....")),"")</f>
        <v/>
      </c>
      <c r="D375" s="24"/>
      <c r="E375" s="24"/>
      <c r="F375" s="24"/>
      <c r="G375" s="29"/>
      <c r="H375" s="24"/>
    </row>
    <row r="376" spans="2:8" x14ac:dyDescent="0.25">
      <c r="B376" s="21" t="str" cm="1">
        <f t="array" aca="1" ref="B3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6" s="22" t="str" cm="1">
        <f t="array" aca="1" ref="C3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A376, "'!C:C")),"NOK"))&gt;0, "NOK", "Pending....")),"")</f>
        <v/>
      </c>
      <c r="D376" s="24"/>
      <c r="E376" s="24"/>
      <c r="F376" s="24"/>
      <c r="G376" s="29"/>
      <c r="H376" s="24"/>
    </row>
    <row r="377" spans="2:8" x14ac:dyDescent="0.25">
      <c r="B377" s="21" t="str" cm="1">
        <f t="array" aca="1" ref="B3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7" s="22" t="str" cm="1">
        <f t="array" aca="1" ref="C3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A377, "'!C:C")),"NOK"))&gt;0, "NOK", "Pending....")),"")</f>
        <v/>
      </c>
      <c r="D377" s="24"/>
      <c r="E377" s="24"/>
      <c r="F377" s="24"/>
      <c r="G377" s="29"/>
      <c r="H377" s="24"/>
    </row>
    <row r="378" spans="2:8" x14ac:dyDescent="0.25">
      <c r="B378" s="21" t="str" cm="1">
        <f t="array" aca="1" ref="B3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8" s="22" t="str" cm="1">
        <f t="array" aca="1" ref="C3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A378, "'!C:C")),"NOK"))&gt;0, "NOK", "Pending....")),"")</f>
        <v/>
      </c>
      <c r="D378" s="24"/>
      <c r="E378" s="24"/>
      <c r="F378" s="24"/>
      <c r="G378" s="29"/>
      <c r="H378" s="24"/>
    </row>
    <row r="379" spans="2:8" x14ac:dyDescent="0.25">
      <c r="B379" s="21" t="str" cm="1">
        <f t="array" aca="1" ref="B3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79" s="22" t="str" cm="1">
        <f t="array" aca="1" ref="C3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A379, "'!C:C")),"NOK"))&gt;0, "NOK", "Pending....")),"")</f>
        <v/>
      </c>
      <c r="D379" s="24"/>
      <c r="E379" s="24"/>
      <c r="F379" s="24"/>
      <c r="G379" s="29"/>
      <c r="H379" s="24"/>
    </row>
    <row r="380" spans="2:8" x14ac:dyDescent="0.25">
      <c r="B380" s="21" t="str" cm="1">
        <f t="array" aca="1" ref="B3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0" s="22" t="str" cm="1">
        <f t="array" aca="1" ref="C3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A380, "'!C:C")),"NOK"))&gt;0, "NOK", "Pending....")),"")</f>
        <v/>
      </c>
      <c r="D380" s="24"/>
      <c r="E380" s="24"/>
      <c r="F380" s="24"/>
      <c r="G380" s="29"/>
      <c r="H380" s="24"/>
    </row>
    <row r="381" spans="2:8" x14ac:dyDescent="0.25">
      <c r="B381" s="21" t="str" cm="1">
        <f t="array" aca="1" ref="B3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1" s="22" t="str" cm="1">
        <f t="array" aca="1" ref="C3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A381, "'!C:C")),"NOK"))&gt;0, "NOK", "Pending....")),"")</f>
        <v/>
      </c>
      <c r="D381" s="24"/>
      <c r="E381" s="24"/>
      <c r="F381" s="24"/>
      <c r="G381" s="29"/>
      <c r="H381" s="24"/>
    </row>
    <row r="382" spans="2:8" x14ac:dyDescent="0.25">
      <c r="B382" s="21" t="str" cm="1">
        <f t="array" aca="1" ref="B3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2" s="22" t="str" cm="1">
        <f t="array" aca="1" ref="C3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A382, "'!C:C")),"NOK"))&gt;0, "NOK", "Pending....")),"")</f>
        <v/>
      </c>
      <c r="D382" s="24"/>
      <c r="E382" s="24"/>
      <c r="F382" s="24"/>
      <c r="G382" s="29"/>
      <c r="H382" s="24"/>
    </row>
    <row r="383" spans="2:8" x14ac:dyDescent="0.25">
      <c r="B383" s="21" t="str" cm="1">
        <f t="array" aca="1" ref="B3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3" s="22" t="str" cm="1">
        <f t="array" aca="1" ref="C3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A383, "'!C:C")),"NOK"))&gt;0, "NOK", "Pending....")),"")</f>
        <v/>
      </c>
      <c r="D383" s="24"/>
      <c r="E383" s="24"/>
      <c r="F383" s="24"/>
      <c r="G383" s="29"/>
      <c r="H383" s="24"/>
    </row>
    <row r="384" spans="2:8" x14ac:dyDescent="0.25">
      <c r="B384" s="21" t="str" cm="1">
        <f t="array" aca="1" ref="B3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4" s="22" t="str" cm="1">
        <f t="array" aca="1" ref="C3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A384, "'!C:C")),"NOK"))&gt;0, "NOK", "Pending....")),"")</f>
        <v/>
      </c>
      <c r="D384" s="24"/>
      <c r="E384" s="24"/>
      <c r="F384" s="24"/>
      <c r="G384" s="29"/>
      <c r="H384" s="24"/>
    </row>
    <row r="385" spans="2:8" x14ac:dyDescent="0.25">
      <c r="B385" s="21" t="str" cm="1">
        <f t="array" aca="1" ref="B3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5" s="22" t="str" cm="1">
        <f t="array" aca="1" ref="C3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A385, "'!C:C")),"NOK"))&gt;0, "NOK", "Pending....")),"")</f>
        <v/>
      </c>
      <c r="D385" s="24"/>
      <c r="E385" s="24"/>
      <c r="F385" s="24"/>
      <c r="G385" s="29"/>
      <c r="H385" s="24"/>
    </row>
    <row r="386" spans="2:8" x14ac:dyDescent="0.25">
      <c r="B386" s="21" t="str" cm="1">
        <f t="array" aca="1" ref="B3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6" s="22" t="str" cm="1">
        <f t="array" aca="1" ref="C3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A386, "'!C:C")),"NOK"))&gt;0, "NOK", "Pending....")),"")</f>
        <v/>
      </c>
      <c r="D386" s="24"/>
      <c r="E386" s="24"/>
      <c r="F386" s="24"/>
      <c r="G386" s="29"/>
      <c r="H386" s="24"/>
    </row>
    <row r="387" spans="2:8" x14ac:dyDescent="0.25">
      <c r="B387" s="21" t="str" cm="1">
        <f t="array" aca="1" ref="B3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7" s="22" t="str" cm="1">
        <f t="array" aca="1" ref="C3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A387, "'!C:C")),"NOK"))&gt;0, "NOK", "Pending....")),"")</f>
        <v/>
      </c>
      <c r="D387" s="24"/>
      <c r="E387" s="24"/>
      <c r="F387" s="24"/>
      <c r="G387" s="29"/>
      <c r="H387" s="24"/>
    </row>
    <row r="388" spans="2:8" x14ac:dyDescent="0.25">
      <c r="B388" s="21" t="str" cm="1">
        <f t="array" aca="1" ref="B3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8" s="22" t="str" cm="1">
        <f t="array" aca="1" ref="C3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A388, "'!C:C")),"NOK"))&gt;0, "NOK", "Pending....")),"")</f>
        <v/>
      </c>
      <c r="D388" s="24"/>
      <c r="E388" s="24"/>
      <c r="F388" s="24"/>
      <c r="G388" s="29"/>
      <c r="H388" s="24"/>
    </row>
    <row r="389" spans="2:8" x14ac:dyDescent="0.25">
      <c r="B389" s="21" t="str" cm="1">
        <f t="array" aca="1" ref="B3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89" s="22" t="str" cm="1">
        <f t="array" aca="1" ref="C3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A389, "'!C:C")),"NOK"))&gt;0, "NOK", "Pending....")),"")</f>
        <v/>
      </c>
      <c r="D389" s="24"/>
      <c r="E389" s="24"/>
      <c r="F389" s="24"/>
      <c r="G389" s="29"/>
      <c r="H389" s="24"/>
    </row>
    <row r="390" spans="2:8" x14ac:dyDescent="0.25">
      <c r="B390" s="21" t="str" cm="1">
        <f t="array" aca="1" ref="B3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0" s="22" t="str" cm="1">
        <f t="array" aca="1" ref="C3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A390, "'!C:C")),"NOK"))&gt;0, "NOK", "Pending....")),"")</f>
        <v/>
      </c>
      <c r="D390" s="24"/>
      <c r="E390" s="24"/>
      <c r="F390" s="24"/>
      <c r="G390" s="29"/>
      <c r="H390" s="24"/>
    </row>
    <row r="391" spans="2:8" x14ac:dyDescent="0.25">
      <c r="B391" s="21" t="str" cm="1">
        <f t="array" aca="1" ref="B3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1" s="22" t="str" cm="1">
        <f t="array" aca="1" ref="C3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A391, "'!C:C")),"NOK"))&gt;0, "NOK", "Pending....")),"")</f>
        <v/>
      </c>
      <c r="D391" s="24"/>
      <c r="E391" s="24"/>
      <c r="F391" s="24"/>
      <c r="G391" s="29"/>
      <c r="H391" s="24"/>
    </row>
    <row r="392" spans="2:8" x14ac:dyDescent="0.25">
      <c r="B392" s="21" t="str" cm="1">
        <f t="array" aca="1" ref="B3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2" s="22" t="str" cm="1">
        <f t="array" aca="1" ref="C3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A392, "'!C:C")),"NOK"))&gt;0, "NOK", "Pending....")),"")</f>
        <v/>
      </c>
      <c r="D392" s="24"/>
      <c r="E392" s="24"/>
      <c r="F392" s="24"/>
      <c r="G392" s="29"/>
      <c r="H392" s="24"/>
    </row>
    <row r="393" spans="2:8" x14ac:dyDescent="0.25">
      <c r="B393" s="21" t="str" cm="1">
        <f t="array" aca="1" ref="B3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3" s="22" t="str" cm="1">
        <f t="array" aca="1" ref="C3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A393, "'!C:C")),"NOK"))&gt;0, "NOK", "Pending....")),"")</f>
        <v/>
      </c>
      <c r="D393" s="24"/>
      <c r="E393" s="24"/>
      <c r="F393" s="24"/>
      <c r="G393" s="29"/>
      <c r="H393" s="24"/>
    </row>
    <row r="394" spans="2:8" x14ac:dyDescent="0.25">
      <c r="B394" s="21" t="str" cm="1">
        <f t="array" aca="1" ref="B3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4" s="22" t="str" cm="1">
        <f t="array" aca="1" ref="C3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A394, "'!C:C")),"NOK"))&gt;0, "NOK", "Pending....")),"")</f>
        <v/>
      </c>
      <c r="D394" s="24"/>
      <c r="E394" s="24"/>
      <c r="F394" s="24"/>
      <c r="G394" s="29"/>
      <c r="H394" s="24"/>
    </row>
    <row r="395" spans="2:8" x14ac:dyDescent="0.25">
      <c r="B395" s="21" t="str" cm="1">
        <f t="array" aca="1" ref="B3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5" s="22" t="str" cm="1">
        <f t="array" aca="1" ref="C3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A395, "'!C:C")),"NOK"))&gt;0, "NOK", "Pending....")),"")</f>
        <v/>
      </c>
      <c r="D395" s="24"/>
      <c r="E395" s="24"/>
      <c r="F395" s="24"/>
      <c r="G395" s="29"/>
      <c r="H395" s="24"/>
    </row>
    <row r="396" spans="2:8" x14ac:dyDescent="0.25">
      <c r="B396" s="21" t="str" cm="1">
        <f t="array" aca="1" ref="B3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6" s="22" t="str" cm="1">
        <f t="array" aca="1" ref="C3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A396, "'!C:C")),"NOK"))&gt;0, "NOK", "Pending....")),"")</f>
        <v/>
      </c>
      <c r="D396" s="24"/>
      <c r="E396" s="24"/>
      <c r="F396" s="24"/>
      <c r="G396" s="29"/>
      <c r="H396" s="24"/>
    </row>
    <row r="397" spans="2:8" x14ac:dyDescent="0.25">
      <c r="B397" s="21" t="str" cm="1">
        <f t="array" aca="1" ref="B3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7" s="22" t="str" cm="1">
        <f t="array" aca="1" ref="C3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A397, "'!C:C")),"NOK"))&gt;0, "NOK", "Pending....")),"")</f>
        <v/>
      </c>
      <c r="D397" s="24"/>
      <c r="E397" s="24"/>
      <c r="F397" s="24"/>
      <c r="G397" s="29"/>
      <c r="H397" s="24"/>
    </row>
    <row r="398" spans="2:8" x14ac:dyDescent="0.25">
      <c r="B398" s="21" t="str" cm="1">
        <f t="array" aca="1" ref="B3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8" s="22" t="str" cm="1">
        <f t="array" aca="1" ref="C3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A398, "'!C:C")),"NOK"))&gt;0, "NOK", "Pending....")),"")</f>
        <v/>
      </c>
      <c r="D398" s="24"/>
      <c r="E398" s="24"/>
      <c r="F398" s="24"/>
      <c r="G398" s="29"/>
      <c r="H398" s="24"/>
    </row>
    <row r="399" spans="2:8" x14ac:dyDescent="0.25">
      <c r="B399" s="21" t="str" cm="1">
        <f t="array" aca="1" ref="B3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399" s="22" t="str" cm="1">
        <f t="array" aca="1" ref="C3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A399, "'!C:C")),"NOK"))&gt;0, "NOK", "Pending....")),"")</f>
        <v/>
      </c>
      <c r="D399" s="24"/>
      <c r="E399" s="24"/>
      <c r="F399" s="24"/>
      <c r="G399" s="29"/>
      <c r="H399" s="24"/>
    </row>
    <row r="400" spans="2:8" x14ac:dyDescent="0.25">
      <c r="B400" s="21" t="str" cm="1">
        <f t="array" aca="1" ref="B4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0" s="22" t="str" cm="1">
        <f t="array" aca="1" ref="C4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A400, "'!C:C")),"NOK"))&gt;0, "NOK", "Pending....")),"")</f>
        <v/>
      </c>
      <c r="D400" s="24"/>
      <c r="E400" s="24"/>
      <c r="F400" s="24"/>
      <c r="G400" s="29"/>
      <c r="H400" s="24"/>
    </row>
    <row r="401" spans="2:8" x14ac:dyDescent="0.25">
      <c r="B401" s="21" t="str" cm="1">
        <f t="array" aca="1" ref="B4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1" s="22" t="str" cm="1">
        <f t="array" aca="1" ref="C4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A401, "'!C:C")),"NOK"))&gt;0, "NOK", "Pending....")),"")</f>
        <v/>
      </c>
      <c r="D401" s="24"/>
      <c r="E401" s="24"/>
      <c r="F401" s="24"/>
      <c r="G401" s="29"/>
      <c r="H401" s="24"/>
    </row>
    <row r="402" spans="2:8" x14ac:dyDescent="0.25">
      <c r="B402" s="21" t="str" cm="1">
        <f t="array" aca="1" ref="B4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2" s="22" t="str" cm="1">
        <f t="array" aca="1" ref="C4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A402, "'!C:C")),"NOK"))&gt;0, "NOK", "Pending....")),"")</f>
        <v/>
      </c>
      <c r="D402" s="24"/>
      <c r="E402" s="24"/>
      <c r="F402" s="24"/>
      <c r="G402" s="29"/>
      <c r="H402" s="24"/>
    </row>
    <row r="403" spans="2:8" x14ac:dyDescent="0.25">
      <c r="B403" s="21" t="str" cm="1">
        <f t="array" aca="1" ref="B4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3" s="22" t="str" cm="1">
        <f t="array" aca="1" ref="C4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A403, "'!C:C")),"NOK"))&gt;0, "NOK", "Pending....")),"")</f>
        <v/>
      </c>
      <c r="D403" s="24"/>
      <c r="E403" s="24"/>
      <c r="F403" s="24"/>
      <c r="G403" s="29"/>
      <c r="H403" s="24"/>
    </row>
    <row r="404" spans="2:8" x14ac:dyDescent="0.25">
      <c r="B404" s="21" t="str" cm="1">
        <f t="array" aca="1" ref="B4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4" s="22" t="str" cm="1">
        <f t="array" aca="1" ref="C4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A404, "'!C:C")),"NOK"))&gt;0, "NOK", "Pending....")),"")</f>
        <v/>
      </c>
      <c r="D404" s="24"/>
      <c r="E404" s="24"/>
      <c r="F404" s="24"/>
      <c r="G404" s="29"/>
      <c r="H404" s="24"/>
    </row>
    <row r="405" spans="2:8" x14ac:dyDescent="0.25">
      <c r="B405" s="21" t="str" cm="1">
        <f t="array" aca="1" ref="B4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5" s="22" t="str" cm="1">
        <f t="array" aca="1" ref="C4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A405, "'!C:C")),"NOK"))&gt;0, "NOK", "Pending....")),"")</f>
        <v/>
      </c>
      <c r="D405" s="24"/>
      <c r="E405" s="24"/>
      <c r="F405" s="24"/>
      <c r="G405" s="29"/>
      <c r="H405" s="24"/>
    </row>
    <row r="406" spans="2:8" x14ac:dyDescent="0.25">
      <c r="B406" s="21" t="str" cm="1">
        <f t="array" aca="1" ref="B4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6" s="22" t="str" cm="1">
        <f t="array" aca="1" ref="C4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A406, "'!C:C")),"NOK"))&gt;0, "NOK", "Pending....")),"")</f>
        <v/>
      </c>
      <c r="D406" s="24"/>
      <c r="E406" s="24"/>
      <c r="F406" s="24"/>
      <c r="G406" s="29"/>
      <c r="H406" s="24"/>
    </row>
    <row r="407" spans="2:8" x14ac:dyDescent="0.25">
      <c r="B407" s="21" t="str" cm="1">
        <f t="array" aca="1" ref="B4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7" s="22" t="str" cm="1">
        <f t="array" aca="1" ref="C4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A407, "'!C:C")),"NOK"))&gt;0, "NOK", "Pending....")),"")</f>
        <v/>
      </c>
      <c r="D407" s="24"/>
      <c r="E407" s="24"/>
      <c r="F407" s="24"/>
      <c r="G407" s="29"/>
      <c r="H407" s="24"/>
    </row>
    <row r="408" spans="2:8" x14ac:dyDescent="0.25">
      <c r="B408" s="21" t="str" cm="1">
        <f t="array" aca="1" ref="B4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8" s="22" t="str" cm="1">
        <f t="array" aca="1" ref="C4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A408, "'!C:C")),"NOK"))&gt;0, "NOK", "Pending....")),"")</f>
        <v/>
      </c>
      <c r="D408" s="24"/>
      <c r="E408" s="24"/>
      <c r="F408" s="24"/>
      <c r="G408" s="29"/>
      <c r="H408" s="24"/>
    </row>
    <row r="409" spans="2:8" x14ac:dyDescent="0.25">
      <c r="B409" s="21" t="str" cm="1">
        <f t="array" aca="1" ref="B4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09" s="22" t="str" cm="1">
        <f t="array" aca="1" ref="C4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A409, "'!C:C")),"NOK"))&gt;0, "NOK", "Pending....")),"")</f>
        <v/>
      </c>
      <c r="D409" s="24"/>
      <c r="E409" s="24"/>
      <c r="F409" s="24"/>
      <c r="G409" s="29"/>
      <c r="H409" s="24"/>
    </row>
    <row r="410" spans="2:8" x14ac:dyDescent="0.25">
      <c r="B410" s="21" t="str" cm="1">
        <f t="array" aca="1" ref="B4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0" s="22" t="str" cm="1">
        <f t="array" aca="1" ref="C4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A410, "'!C:C")),"NOK"))&gt;0, "NOK", "Pending....")),"")</f>
        <v/>
      </c>
      <c r="D410" s="24"/>
      <c r="E410" s="24"/>
      <c r="F410" s="24"/>
      <c r="G410" s="29"/>
      <c r="H410" s="24"/>
    </row>
    <row r="411" spans="2:8" x14ac:dyDescent="0.25">
      <c r="B411" s="21" t="str" cm="1">
        <f t="array" aca="1" ref="B4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1" s="22" t="str" cm="1">
        <f t="array" aca="1" ref="C4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A411, "'!C:C")),"NOK"))&gt;0, "NOK", "Pending....")),"")</f>
        <v/>
      </c>
      <c r="D411" s="24"/>
      <c r="E411" s="24"/>
      <c r="F411" s="24"/>
      <c r="G411" s="29"/>
      <c r="H411" s="24"/>
    </row>
    <row r="412" spans="2:8" x14ac:dyDescent="0.25">
      <c r="B412" s="21" t="str" cm="1">
        <f t="array" aca="1" ref="B4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2" s="22" t="str" cm="1">
        <f t="array" aca="1" ref="C4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A412, "'!C:C")),"NOK"))&gt;0, "NOK", "Pending....")),"")</f>
        <v/>
      </c>
      <c r="D412" s="24"/>
      <c r="E412" s="24"/>
      <c r="F412" s="24"/>
      <c r="G412" s="29"/>
      <c r="H412" s="24"/>
    </row>
    <row r="413" spans="2:8" x14ac:dyDescent="0.25">
      <c r="B413" s="21" t="str" cm="1">
        <f t="array" aca="1" ref="B4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3" s="22" t="str" cm="1">
        <f t="array" aca="1" ref="C4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A413, "'!C:C")),"NOK"))&gt;0, "NOK", "Pending....")),"")</f>
        <v/>
      </c>
      <c r="D413" s="24"/>
      <c r="E413" s="24"/>
      <c r="F413" s="24"/>
      <c r="G413" s="29"/>
      <c r="H413" s="24"/>
    </row>
    <row r="414" spans="2:8" x14ac:dyDescent="0.25">
      <c r="B414" s="21" t="str" cm="1">
        <f t="array" aca="1" ref="B4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4" s="22" t="str" cm="1">
        <f t="array" aca="1" ref="C4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A414, "'!C:C")),"NOK"))&gt;0, "NOK", "Pending....")),"")</f>
        <v/>
      </c>
      <c r="D414" s="24"/>
      <c r="E414" s="24"/>
      <c r="F414" s="24"/>
      <c r="G414" s="29"/>
      <c r="H414" s="24"/>
    </row>
    <row r="415" spans="2:8" x14ac:dyDescent="0.25">
      <c r="B415" s="21" t="str" cm="1">
        <f t="array" aca="1" ref="B4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5" s="22" t="str" cm="1">
        <f t="array" aca="1" ref="C4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A415, "'!C:C")),"NOK"))&gt;0, "NOK", "Pending....")),"")</f>
        <v/>
      </c>
      <c r="D415" s="24"/>
      <c r="E415" s="24"/>
      <c r="F415" s="24"/>
      <c r="G415" s="29"/>
      <c r="H415" s="24"/>
    </row>
    <row r="416" spans="2:8" x14ac:dyDescent="0.25">
      <c r="B416" s="21" t="str" cm="1">
        <f t="array" aca="1" ref="B4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6" s="22" t="str" cm="1">
        <f t="array" aca="1" ref="C4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A416, "'!C:C")),"NOK"))&gt;0, "NOK", "Pending....")),"")</f>
        <v/>
      </c>
      <c r="D416" s="24"/>
      <c r="E416" s="24"/>
      <c r="F416" s="24"/>
      <c r="G416" s="29"/>
      <c r="H416" s="24"/>
    </row>
    <row r="417" spans="2:8" x14ac:dyDescent="0.25">
      <c r="B417" s="21" t="str" cm="1">
        <f t="array" aca="1" ref="B4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7" s="22" t="str" cm="1">
        <f t="array" aca="1" ref="C4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A417, "'!C:C")),"NOK"))&gt;0, "NOK", "Pending....")),"")</f>
        <v/>
      </c>
      <c r="D417" s="24"/>
      <c r="E417" s="24"/>
      <c r="F417" s="24"/>
      <c r="G417" s="29"/>
      <c r="H417" s="24"/>
    </row>
    <row r="418" spans="2:8" x14ac:dyDescent="0.25">
      <c r="B418" s="21" t="str" cm="1">
        <f t="array" aca="1" ref="B4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8" s="22" t="str" cm="1">
        <f t="array" aca="1" ref="C4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A418, "'!C:C")),"NOK"))&gt;0, "NOK", "Pending....")),"")</f>
        <v/>
      </c>
      <c r="D418" s="24"/>
      <c r="E418" s="24"/>
      <c r="F418" s="24"/>
      <c r="G418" s="29"/>
      <c r="H418" s="24"/>
    </row>
    <row r="419" spans="2:8" x14ac:dyDescent="0.25">
      <c r="B419" s="21" t="str" cm="1">
        <f t="array" aca="1" ref="B4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19" s="22" t="str" cm="1">
        <f t="array" aca="1" ref="C4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A419, "'!C:C")),"NOK"))&gt;0, "NOK", "Pending....")),"")</f>
        <v/>
      </c>
      <c r="D419" s="24"/>
      <c r="E419" s="24"/>
      <c r="F419" s="24"/>
      <c r="G419" s="29"/>
      <c r="H419" s="24"/>
    </row>
    <row r="420" spans="2:8" x14ac:dyDescent="0.25">
      <c r="B420" s="21" t="str" cm="1">
        <f t="array" aca="1" ref="B4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0" s="22" t="str" cm="1">
        <f t="array" aca="1" ref="C4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A420, "'!C:C")),"NOK"))&gt;0, "NOK", "Pending....")),"")</f>
        <v/>
      </c>
      <c r="D420" s="24"/>
      <c r="E420" s="24"/>
      <c r="F420" s="24"/>
      <c r="G420" s="29"/>
      <c r="H420" s="24"/>
    </row>
    <row r="421" spans="2:8" x14ac:dyDescent="0.25">
      <c r="B421" s="21" t="str" cm="1">
        <f t="array" aca="1" ref="B4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1" s="22" t="str" cm="1">
        <f t="array" aca="1" ref="C4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A421, "'!C:C")),"NOK"))&gt;0, "NOK", "Pending....")),"")</f>
        <v/>
      </c>
      <c r="D421" s="24"/>
      <c r="E421" s="24"/>
      <c r="F421" s="24"/>
      <c r="G421" s="29"/>
      <c r="H421" s="24"/>
    </row>
    <row r="422" spans="2:8" x14ac:dyDescent="0.25">
      <c r="B422" s="21" t="str" cm="1">
        <f t="array" aca="1" ref="B4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2" s="22" t="str" cm="1">
        <f t="array" aca="1" ref="C4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A422, "'!C:C")),"NOK"))&gt;0, "NOK", "Pending....")),"")</f>
        <v/>
      </c>
      <c r="D422" s="24"/>
      <c r="E422" s="24"/>
      <c r="F422" s="24"/>
      <c r="G422" s="29"/>
      <c r="H422" s="24"/>
    </row>
    <row r="423" spans="2:8" x14ac:dyDescent="0.25">
      <c r="B423" s="21" t="str" cm="1">
        <f t="array" aca="1" ref="B4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3" s="22" t="str" cm="1">
        <f t="array" aca="1" ref="C4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A423, "'!C:C")),"NOK"))&gt;0, "NOK", "Pending....")),"")</f>
        <v/>
      </c>
      <c r="D423" s="24"/>
      <c r="E423" s="24"/>
      <c r="F423" s="24"/>
      <c r="G423" s="29"/>
      <c r="H423" s="24"/>
    </row>
    <row r="424" spans="2:8" x14ac:dyDescent="0.25">
      <c r="B424" s="21" t="str" cm="1">
        <f t="array" aca="1" ref="B4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4" s="22" t="str" cm="1">
        <f t="array" aca="1" ref="C4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A424, "'!C:C")),"NOK"))&gt;0, "NOK", "Pending....")),"")</f>
        <v/>
      </c>
      <c r="D424" s="24"/>
      <c r="E424" s="24"/>
      <c r="F424" s="24"/>
      <c r="G424" s="29"/>
      <c r="H424" s="24"/>
    </row>
    <row r="425" spans="2:8" x14ac:dyDescent="0.25">
      <c r="B425" s="21" t="str" cm="1">
        <f t="array" aca="1" ref="B4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5" s="22" t="str" cm="1">
        <f t="array" aca="1" ref="C4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A425, "'!C:C")),"NOK"))&gt;0, "NOK", "Pending....")),"")</f>
        <v/>
      </c>
      <c r="D425" s="24"/>
      <c r="E425" s="24"/>
      <c r="F425" s="24"/>
      <c r="G425" s="29"/>
      <c r="H425" s="24"/>
    </row>
    <row r="426" spans="2:8" x14ac:dyDescent="0.25">
      <c r="B426" s="21" t="str" cm="1">
        <f t="array" aca="1" ref="B4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6" s="22" t="str" cm="1">
        <f t="array" aca="1" ref="C4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A426, "'!C:C")),"NOK"))&gt;0, "NOK", "Pending....")),"")</f>
        <v/>
      </c>
      <c r="D426" s="24"/>
      <c r="E426" s="24"/>
      <c r="F426" s="24"/>
      <c r="G426" s="29"/>
      <c r="H426" s="24"/>
    </row>
    <row r="427" spans="2:8" x14ac:dyDescent="0.25">
      <c r="B427" s="21" t="str" cm="1">
        <f t="array" aca="1" ref="B4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7" s="22" t="str" cm="1">
        <f t="array" aca="1" ref="C4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A427, "'!C:C")),"NOK"))&gt;0, "NOK", "Pending....")),"")</f>
        <v/>
      </c>
      <c r="D427" s="24"/>
      <c r="E427" s="24"/>
      <c r="F427" s="24"/>
      <c r="G427" s="29"/>
      <c r="H427" s="24"/>
    </row>
    <row r="428" spans="2:8" x14ac:dyDescent="0.25">
      <c r="B428" s="21" t="str" cm="1">
        <f t="array" aca="1" ref="B4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8" s="22" t="str" cm="1">
        <f t="array" aca="1" ref="C4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A428, "'!C:C")),"NOK"))&gt;0, "NOK", "Pending....")),"")</f>
        <v/>
      </c>
      <c r="D428" s="24"/>
      <c r="E428" s="24"/>
      <c r="F428" s="24"/>
      <c r="G428" s="29"/>
      <c r="H428" s="24"/>
    </row>
    <row r="429" spans="2:8" x14ac:dyDescent="0.25">
      <c r="B429" s="21" t="str" cm="1">
        <f t="array" aca="1" ref="B4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29" s="22" t="str" cm="1">
        <f t="array" aca="1" ref="C4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A429, "'!C:C")),"NOK"))&gt;0, "NOK", "Pending....")),"")</f>
        <v/>
      </c>
      <c r="D429" s="24"/>
      <c r="E429" s="24"/>
      <c r="F429" s="24"/>
      <c r="G429" s="29"/>
      <c r="H429" s="24"/>
    </row>
    <row r="430" spans="2:8" x14ac:dyDescent="0.25">
      <c r="B430" s="21" t="str" cm="1">
        <f t="array" aca="1" ref="B4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0" s="22" t="str" cm="1">
        <f t="array" aca="1" ref="C4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A430, "'!C:C")),"NOK"))&gt;0, "NOK", "Pending....")),"")</f>
        <v/>
      </c>
      <c r="D430" s="24"/>
      <c r="E430" s="24"/>
      <c r="F430" s="24"/>
      <c r="G430" s="29"/>
      <c r="H430" s="24"/>
    </row>
    <row r="431" spans="2:8" x14ac:dyDescent="0.25">
      <c r="B431" s="21" t="str" cm="1">
        <f t="array" aca="1" ref="B4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1" s="22" t="str" cm="1">
        <f t="array" aca="1" ref="C4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A431, "'!C:C")),"NOK"))&gt;0, "NOK", "Pending....")),"")</f>
        <v/>
      </c>
      <c r="D431" s="24"/>
      <c r="E431" s="24"/>
      <c r="F431" s="24"/>
      <c r="G431" s="29"/>
      <c r="H431" s="24"/>
    </row>
    <row r="432" spans="2:8" x14ac:dyDescent="0.25">
      <c r="B432" s="21" t="str" cm="1">
        <f t="array" aca="1" ref="B4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2" s="22" t="str" cm="1">
        <f t="array" aca="1" ref="C4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A432, "'!C:C")),"NOK"))&gt;0, "NOK", "Pending....")),"")</f>
        <v/>
      </c>
      <c r="D432" s="24"/>
      <c r="E432" s="24"/>
      <c r="F432" s="24"/>
      <c r="G432" s="29"/>
      <c r="H432" s="24"/>
    </row>
    <row r="433" spans="2:8" x14ac:dyDescent="0.25">
      <c r="B433" s="21" t="str" cm="1">
        <f t="array" aca="1" ref="B4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3" s="22" t="str" cm="1">
        <f t="array" aca="1" ref="C4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A433, "'!C:C")),"NOK"))&gt;0, "NOK", "Pending....")),"")</f>
        <v/>
      </c>
      <c r="D433" s="24"/>
      <c r="E433" s="24"/>
      <c r="F433" s="24"/>
      <c r="G433" s="29"/>
      <c r="H433" s="24"/>
    </row>
    <row r="434" spans="2:8" x14ac:dyDescent="0.25">
      <c r="B434" s="21" t="str" cm="1">
        <f t="array" aca="1" ref="B4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4" s="22" t="str" cm="1">
        <f t="array" aca="1" ref="C4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A434, "'!C:C")),"NOK"))&gt;0, "NOK", "Pending....")),"")</f>
        <v/>
      </c>
      <c r="D434" s="24"/>
      <c r="E434" s="24"/>
      <c r="F434" s="24"/>
      <c r="G434" s="29"/>
      <c r="H434" s="24"/>
    </row>
    <row r="435" spans="2:8" x14ac:dyDescent="0.25">
      <c r="B435" s="21" t="str" cm="1">
        <f t="array" aca="1" ref="B4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5" s="22" t="str" cm="1">
        <f t="array" aca="1" ref="C4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A435, "'!C:C")),"NOK"))&gt;0, "NOK", "Pending....")),"")</f>
        <v/>
      </c>
      <c r="D435" s="24"/>
      <c r="E435" s="24"/>
      <c r="F435" s="24"/>
      <c r="G435" s="29"/>
      <c r="H435" s="24"/>
    </row>
    <row r="436" spans="2:8" x14ac:dyDescent="0.25">
      <c r="B436" s="21" t="str" cm="1">
        <f t="array" aca="1" ref="B4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6" s="22" t="str" cm="1">
        <f t="array" aca="1" ref="C4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A436, "'!C:C")),"NOK"))&gt;0, "NOK", "Pending....")),"")</f>
        <v/>
      </c>
      <c r="D436" s="24"/>
      <c r="E436" s="24"/>
      <c r="F436" s="24"/>
      <c r="G436" s="29"/>
      <c r="H436" s="24"/>
    </row>
    <row r="437" spans="2:8" x14ac:dyDescent="0.25">
      <c r="B437" s="21" t="str" cm="1">
        <f t="array" aca="1" ref="B4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7" s="22" t="str" cm="1">
        <f t="array" aca="1" ref="C4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A437, "'!C:C")),"NOK"))&gt;0, "NOK", "Pending....")),"")</f>
        <v/>
      </c>
      <c r="D437" s="24"/>
      <c r="E437" s="24"/>
      <c r="F437" s="24"/>
      <c r="G437" s="29"/>
      <c r="H437" s="24"/>
    </row>
    <row r="438" spans="2:8" x14ac:dyDescent="0.25">
      <c r="B438" s="21" t="str" cm="1">
        <f t="array" aca="1" ref="B4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8" s="22" t="str" cm="1">
        <f t="array" aca="1" ref="C4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A438, "'!C:C")),"NOK"))&gt;0, "NOK", "Pending....")),"")</f>
        <v/>
      </c>
      <c r="D438" s="24"/>
      <c r="E438" s="24"/>
      <c r="F438" s="24"/>
      <c r="G438" s="29"/>
      <c r="H438" s="24"/>
    </row>
    <row r="439" spans="2:8" x14ac:dyDescent="0.25">
      <c r="B439" s="21" t="str" cm="1">
        <f t="array" aca="1" ref="B4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39" s="22" t="str" cm="1">
        <f t="array" aca="1" ref="C4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A439, "'!C:C")),"NOK"))&gt;0, "NOK", "Pending....")),"")</f>
        <v/>
      </c>
      <c r="D439" s="24"/>
      <c r="E439" s="24"/>
      <c r="F439" s="24"/>
      <c r="G439" s="29"/>
      <c r="H439" s="24"/>
    </row>
    <row r="440" spans="2:8" x14ac:dyDescent="0.25">
      <c r="B440" s="21" t="str" cm="1">
        <f t="array" aca="1" ref="B4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0" s="22" t="str" cm="1">
        <f t="array" aca="1" ref="C4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A440, "'!C:C")),"NOK"))&gt;0, "NOK", "Pending....")),"")</f>
        <v/>
      </c>
      <c r="D440" s="24"/>
      <c r="E440" s="24"/>
      <c r="F440" s="24"/>
      <c r="G440" s="29"/>
      <c r="H440" s="24"/>
    </row>
    <row r="441" spans="2:8" x14ac:dyDescent="0.25">
      <c r="B441" s="21" t="str" cm="1">
        <f t="array" aca="1" ref="B4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1" s="22" t="str" cm="1">
        <f t="array" aca="1" ref="C4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A441, "'!C:C")),"NOK"))&gt;0, "NOK", "Pending....")),"")</f>
        <v/>
      </c>
      <c r="D441" s="24"/>
      <c r="E441" s="24"/>
      <c r="F441" s="24"/>
      <c r="G441" s="29"/>
      <c r="H441" s="24"/>
    </row>
    <row r="442" spans="2:8" x14ac:dyDescent="0.25">
      <c r="B442" s="21" t="str" cm="1">
        <f t="array" aca="1" ref="B4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2" s="22" t="str" cm="1">
        <f t="array" aca="1" ref="C4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A442, "'!C:C")),"NOK"))&gt;0, "NOK", "Pending....")),"")</f>
        <v/>
      </c>
      <c r="D442" s="24"/>
      <c r="E442" s="24"/>
      <c r="F442" s="24"/>
      <c r="G442" s="29"/>
      <c r="H442" s="24"/>
    </row>
    <row r="443" spans="2:8" x14ac:dyDescent="0.25">
      <c r="B443" s="21" t="str" cm="1">
        <f t="array" aca="1" ref="B4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3" s="22" t="str" cm="1">
        <f t="array" aca="1" ref="C4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A443, "'!C:C")),"NOK"))&gt;0, "NOK", "Pending....")),"")</f>
        <v/>
      </c>
      <c r="D443" s="24"/>
      <c r="E443" s="24"/>
      <c r="F443" s="24"/>
      <c r="G443" s="29"/>
      <c r="H443" s="24"/>
    </row>
    <row r="444" spans="2:8" x14ac:dyDescent="0.25">
      <c r="B444" s="21" t="str" cm="1">
        <f t="array" aca="1" ref="B4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4" s="22" t="str" cm="1">
        <f t="array" aca="1" ref="C4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A444, "'!C:C")),"NOK"))&gt;0, "NOK", "Pending....")),"")</f>
        <v/>
      </c>
      <c r="D444" s="24"/>
      <c r="E444" s="24"/>
      <c r="F444" s="24"/>
      <c r="G444" s="29"/>
      <c r="H444" s="24"/>
    </row>
    <row r="445" spans="2:8" x14ac:dyDescent="0.25">
      <c r="B445" s="21" t="str" cm="1">
        <f t="array" aca="1" ref="B4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5" s="22" t="str" cm="1">
        <f t="array" aca="1" ref="C4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A445, "'!C:C")),"NOK"))&gt;0, "NOK", "Pending....")),"")</f>
        <v/>
      </c>
      <c r="D445" s="24"/>
      <c r="E445" s="24"/>
      <c r="F445" s="24"/>
      <c r="G445" s="29"/>
      <c r="H445" s="24"/>
    </row>
    <row r="446" spans="2:8" x14ac:dyDescent="0.25">
      <c r="B446" s="21" t="str" cm="1">
        <f t="array" aca="1" ref="B4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6" s="22" t="str" cm="1">
        <f t="array" aca="1" ref="C4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A446, "'!C:C")),"NOK"))&gt;0, "NOK", "Pending....")),"")</f>
        <v/>
      </c>
      <c r="D446" s="24"/>
      <c r="E446" s="24"/>
      <c r="F446" s="24"/>
      <c r="G446" s="29"/>
      <c r="H446" s="24"/>
    </row>
    <row r="447" spans="2:8" x14ac:dyDescent="0.25">
      <c r="B447" s="21" t="str" cm="1">
        <f t="array" aca="1" ref="B4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7" s="22" t="str" cm="1">
        <f t="array" aca="1" ref="C4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A447, "'!C:C")),"NOK"))&gt;0, "NOK", "Pending....")),"")</f>
        <v/>
      </c>
      <c r="D447" s="24"/>
      <c r="E447" s="24"/>
      <c r="F447" s="24"/>
      <c r="G447" s="29"/>
      <c r="H447" s="24"/>
    </row>
    <row r="448" spans="2:8" x14ac:dyDescent="0.25">
      <c r="B448" s="21" t="str" cm="1">
        <f t="array" aca="1" ref="B4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8" s="22" t="str" cm="1">
        <f t="array" aca="1" ref="C4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A448, "'!C:C")),"NOK"))&gt;0, "NOK", "Pending....")),"")</f>
        <v/>
      </c>
      <c r="D448" s="24"/>
      <c r="E448" s="24"/>
      <c r="F448" s="24"/>
      <c r="G448" s="29"/>
      <c r="H448" s="24"/>
    </row>
    <row r="449" spans="2:8" x14ac:dyDescent="0.25">
      <c r="B449" s="21" t="str" cm="1">
        <f t="array" aca="1" ref="B4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49" s="22" t="str" cm="1">
        <f t="array" aca="1" ref="C4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A449, "'!C:C")),"NOK"))&gt;0, "NOK", "Pending....")),"")</f>
        <v/>
      </c>
      <c r="D449" s="24"/>
      <c r="E449" s="24"/>
      <c r="F449" s="24"/>
      <c r="G449" s="29"/>
      <c r="H449" s="24"/>
    </row>
    <row r="450" spans="2:8" x14ac:dyDescent="0.25">
      <c r="B450" s="21" t="str" cm="1">
        <f t="array" aca="1" ref="B4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0" s="22" t="str" cm="1">
        <f t="array" aca="1" ref="C4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A450, "'!C:C")),"NOK"))&gt;0, "NOK", "Pending....")),"")</f>
        <v/>
      </c>
      <c r="D450" s="24"/>
      <c r="E450" s="24"/>
      <c r="F450" s="24"/>
      <c r="G450" s="29"/>
      <c r="H450" s="24"/>
    </row>
    <row r="451" spans="2:8" x14ac:dyDescent="0.25">
      <c r="B451" s="21" t="str" cm="1">
        <f t="array" aca="1" ref="B4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1" s="22" t="str" cm="1">
        <f t="array" aca="1" ref="C4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A451, "'!C:C")),"NOK"))&gt;0, "NOK", "Pending....")),"")</f>
        <v/>
      </c>
      <c r="D451" s="24"/>
      <c r="E451" s="24"/>
      <c r="F451" s="24"/>
      <c r="G451" s="29"/>
      <c r="H451" s="24"/>
    </row>
    <row r="452" spans="2:8" x14ac:dyDescent="0.25">
      <c r="B452" s="21" t="str" cm="1">
        <f t="array" aca="1" ref="B4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2" s="22" t="str" cm="1">
        <f t="array" aca="1" ref="C4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A452, "'!C:C")),"NOK"))&gt;0, "NOK", "Pending....")),"")</f>
        <v/>
      </c>
      <c r="D452" s="24"/>
      <c r="E452" s="24"/>
      <c r="F452" s="24"/>
      <c r="G452" s="29"/>
      <c r="H452" s="24"/>
    </row>
    <row r="453" spans="2:8" x14ac:dyDescent="0.25">
      <c r="B453" s="21" t="str" cm="1">
        <f t="array" aca="1" ref="B4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3" s="22" t="str" cm="1">
        <f t="array" aca="1" ref="C4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A453, "'!C:C")),"NOK"))&gt;0, "NOK", "Pending....")),"")</f>
        <v/>
      </c>
      <c r="D453" s="24"/>
      <c r="E453" s="24"/>
      <c r="F453" s="24"/>
      <c r="G453" s="29"/>
      <c r="H453" s="24"/>
    </row>
    <row r="454" spans="2:8" x14ac:dyDescent="0.25">
      <c r="B454" s="21" t="str" cm="1">
        <f t="array" aca="1" ref="B4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4" s="22" t="str" cm="1">
        <f t="array" aca="1" ref="C4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A454, "'!C:C")),"NOK"))&gt;0, "NOK", "Pending....")),"")</f>
        <v/>
      </c>
      <c r="D454" s="24"/>
      <c r="E454" s="24"/>
      <c r="F454" s="24"/>
      <c r="G454" s="29"/>
      <c r="H454" s="24"/>
    </row>
    <row r="455" spans="2:8" x14ac:dyDescent="0.25">
      <c r="B455" s="21" t="str" cm="1">
        <f t="array" aca="1" ref="B4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5" s="22" t="str" cm="1">
        <f t="array" aca="1" ref="C4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A455, "'!C:C")),"NOK"))&gt;0, "NOK", "Pending....")),"")</f>
        <v/>
      </c>
      <c r="D455" s="24"/>
      <c r="E455" s="24"/>
      <c r="F455" s="24"/>
      <c r="G455" s="29"/>
      <c r="H455" s="24"/>
    </row>
    <row r="456" spans="2:8" x14ac:dyDescent="0.25">
      <c r="B456" s="21" t="str" cm="1">
        <f t="array" aca="1" ref="B4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6" s="22" t="str" cm="1">
        <f t="array" aca="1" ref="C4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A456, "'!C:C")),"NOK"))&gt;0, "NOK", "Pending....")),"")</f>
        <v/>
      </c>
      <c r="D456" s="24"/>
      <c r="E456" s="24"/>
      <c r="F456" s="24"/>
      <c r="G456" s="29"/>
      <c r="H456" s="24"/>
    </row>
    <row r="457" spans="2:8" x14ac:dyDescent="0.25">
      <c r="B457" s="21" t="str" cm="1">
        <f t="array" aca="1" ref="B4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7" s="22" t="str" cm="1">
        <f t="array" aca="1" ref="C4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A457, "'!C:C")),"NOK"))&gt;0, "NOK", "Pending....")),"")</f>
        <v/>
      </c>
      <c r="D457" s="24"/>
      <c r="E457" s="24"/>
      <c r="F457" s="24"/>
      <c r="G457" s="29"/>
      <c r="H457" s="24"/>
    </row>
    <row r="458" spans="2:8" x14ac:dyDescent="0.25">
      <c r="B458" s="21" t="str" cm="1">
        <f t="array" aca="1" ref="B4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8" s="22" t="str" cm="1">
        <f t="array" aca="1" ref="C4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A458, "'!C:C")),"NOK"))&gt;0, "NOK", "Pending....")),"")</f>
        <v/>
      </c>
      <c r="D458" s="24"/>
      <c r="E458" s="24"/>
      <c r="F458" s="24"/>
      <c r="G458" s="29"/>
      <c r="H458" s="24"/>
    </row>
    <row r="459" spans="2:8" x14ac:dyDescent="0.25">
      <c r="B459" s="21" t="str" cm="1">
        <f t="array" aca="1" ref="B4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59" s="22" t="str" cm="1">
        <f t="array" aca="1" ref="C4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A459, "'!C:C")),"NOK"))&gt;0, "NOK", "Pending....")),"")</f>
        <v/>
      </c>
      <c r="D459" s="24"/>
      <c r="E459" s="24"/>
      <c r="F459" s="24"/>
      <c r="G459" s="29"/>
      <c r="H459" s="24"/>
    </row>
    <row r="460" spans="2:8" x14ac:dyDescent="0.25">
      <c r="B460" s="21" t="str" cm="1">
        <f t="array" aca="1" ref="B4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0" s="22" t="str" cm="1">
        <f t="array" aca="1" ref="C4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A460, "'!C:C")),"NOK"))&gt;0, "NOK", "Pending....")),"")</f>
        <v/>
      </c>
      <c r="D460" s="24"/>
      <c r="E460" s="24"/>
      <c r="F460" s="24"/>
      <c r="G460" s="29"/>
      <c r="H460" s="24"/>
    </row>
    <row r="461" spans="2:8" x14ac:dyDescent="0.25">
      <c r="B461" s="21" t="str" cm="1">
        <f t="array" aca="1" ref="B4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1" s="22" t="str" cm="1">
        <f t="array" aca="1" ref="C4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A461, "'!C:C")),"NOK"))&gt;0, "NOK", "Pending....")),"")</f>
        <v/>
      </c>
      <c r="D461" s="24"/>
      <c r="E461" s="24"/>
      <c r="F461" s="24"/>
      <c r="G461" s="29"/>
      <c r="H461" s="24"/>
    </row>
    <row r="462" spans="2:8" x14ac:dyDescent="0.25">
      <c r="B462" s="21" t="str" cm="1">
        <f t="array" aca="1" ref="B4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2" s="22" t="str" cm="1">
        <f t="array" aca="1" ref="C4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A462, "'!C:C")),"NOK"))&gt;0, "NOK", "Pending....")),"")</f>
        <v/>
      </c>
      <c r="D462" s="24"/>
      <c r="E462" s="24"/>
      <c r="F462" s="24"/>
      <c r="G462" s="29"/>
      <c r="H462" s="24"/>
    </row>
    <row r="463" spans="2:8" x14ac:dyDescent="0.25">
      <c r="B463" s="21" t="str" cm="1">
        <f t="array" aca="1" ref="B4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3" s="22" t="str" cm="1">
        <f t="array" aca="1" ref="C4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A463, "'!C:C")),"NOK"))&gt;0, "NOK", "Pending....")),"")</f>
        <v/>
      </c>
      <c r="D463" s="24"/>
      <c r="E463" s="24"/>
      <c r="F463" s="24"/>
      <c r="G463" s="29"/>
      <c r="H463" s="24"/>
    </row>
    <row r="464" spans="2:8" x14ac:dyDescent="0.25">
      <c r="B464" s="21" t="str" cm="1">
        <f t="array" aca="1" ref="B4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4" s="22" t="str" cm="1">
        <f t="array" aca="1" ref="C4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A464, "'!C:C")),"NOK"))&gt;0, "NOK", "Pending....")),"")</f>
        <v/>
      </c>
      <c r="D464" s="24"/>
      <c r="E464" s="24"/>
      <c r="F464" s="24"/>
      <c r="G464" s="29"/>
      <c r="H464" s="24"/>
    </row>
    <row r="465" spans="2:8" x14ac:dyDescent="0.25">
      <c r="B465" s="21" t="str" cm="1">
        <f t="array" aca="1" ref="B4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5" s="22" t="str" cm="1">
        <f t="array" aca="1" ref="C4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A465, "'!C:C")),"NOK"))&gt;0, "NOK", "Pending....")),"")</f>
        <v/>
      </c>
      <c r="D465" s="24"/>
      <c r="E465" s="24"/>
      <c r="F465" s="24"/>
      <c r="G465" s="29"/>
      <c r="H465" s="24"/>
    </row>
    <row r="466" spans="2:8" x14ac:dyDescent="0.25">
      <c r="B466" s="21" t="str" cm="1">
        <f t="array" aca="1" ref="B4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6" s="22" t="str" cm="1">
        <f t="array" aca="1" ref="C4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A466, "'!C:C")),"NOK"))&gt;0, "NOK", "Pending....")),"")</f>
        <v/>
      </c>
      <c r="D466" s="24"/>
      <c r="E466" s="24"/>
      <c r="F466" s="24"/>
      <c r="G466" s="29"/>
      <c r="H466" s="24"/>
    </row>
    <row r="467" spans="2:8" x14ac:dyDescent="0.25">
      <c r="B467" s="21" t="str" cm="1">
        <f t="array" aca="1" ref="B4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7" s="22" t="str" cm="1">
        <f t="array" aca="1" ref="C4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A467, "'!C:C")),"NOK"))&gt;0, "NOK", "Pending....")),"")</f>
        <v/>
      </c>
      <c r="D467" s="24"/>
      <c r="E467" s="24"/>
      <c r="F467" s="24"/>
      <c r="G467" s="29"/>
      <c r="H467" s="24"/>
    </row>
    <row r="468" spans="2:8" x14ac:dyDescent="0.25">
      <c r="B468" s="21" t="str" cm="1">
        <f t="array" aca="1" ref="B4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8" s="22" t="str" cm="1">
        <f t="array" aca="1" ref="C4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A468, "'!C:C")),"NOK"))&gt;0, "NOK", "Pending....")),"")</f>
        <v/>
      </c>
      <c r="D468" s="24"/>
      <c r="E468" s="24"/>
      <c r="F468" s="24"/>
      <c r="G468" s="29"/>
      <c r="H468" s="24"/>
    </row>
    <row r="469" spans="2:8" x14ac:dyDescent="0.25">
      <c r="B469" s="21" t="str" cm="1">
        <f t="array" aca="1" ref="B4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69" s="22" t="str" cm="1">
        <f t="array" aca="1" ref="C4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A469, "'!C:C")),"NOK"))&gt;0, "NOK", "Pending....")),"")</f>
        <v/>
      </c>
      <c r="D469" s="24"/>
      <c r="E469" s="24"/>
      <c r="F469" s="24"/>
      <c r="G469" s="29"/>
      <c r="H469" s="24"/>
    </row>
    <row r="470" spans="2:8" x14ac:dyDescent="0.25">
      <c r="B470" s="21" t="str" cm="1">
        <f t="array" aca="1" ref="B4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0" s="22" t="str" cm="1">
        <f t="array" aca="1" ref="C4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A470, "'!C:C")),"NOK"))&gt;0, "NOK", "Pending....")),"")</f>
        <v/>
      </c>
      <c r="D470" s="24"/>
      <c r="E470" s="24"/>
      <c r="F470" s="24"/>
      <c r="G470" s="29"/>
      <c r="H470" s="24"/>
    </row>
    <row r="471" spans="2:8" x14ac:dyDescent="0.25">
      <c r="B471" s="21" t="str" cm="1">
        <f t="array" aca="1" ref="B4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1" s="22" t="str" cm="1">
        <f t="array" aca="1" ref="C4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A471, "'!C:C")),"NOK"))&gt;0, "NOK", "Pending....")),"")</f>
        <v/>
      </c>
      <c r="D471" s="24"/>
      <c r="E471" s="24"/>
      <c r="F471" s="24"/>
      <c r="G471" s="29"/>
      <c r="H471" s="24"/>
    </row>
    <row r="472" spans="2:8" x14ac:dyDescent="0.25">
      <c r="B472" s="21" t="str" cm="1">
        <f t="array" aca="1" ref="B4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2" s="22" t="str" cm="1">
        <f t="array" aca="1" ref="C4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A472, "'!C:C")),"NOK"))&gt;0, "NOK", "Pending....")),"")</f>
        <v/>
      </c>
      <c r="D472" s="24"/>
      <c r="E472" s="24"/>
      <c r="F472" s="24"/>
      <c r="G472" s="29"/>
      <c r="H472" s="24"/>
    </row>
    <row r="473" spans="2:8" x14ac:dyDescent="0.25">
      <c r="B473" s="21" t="str" cm="1">
        <f t="array" aca="1" ref="B4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3" s="22" t="str" cm="1">
        <f t="array" aca="1" ref="C4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A473, "'!C:C")),"NOK"))&gt;0, "NOK", "Pending....")),"")</f>
        <v/>
      </c>
      <c r="D473" s="24"/>
      <c r="E473" s="24"/>
      <c r="F473" s="24"/>
      <c r="G473" s="29"/>
      <c r="H473" s="24"/>
    </row>
    <row r="474" spans="2:8" x14ac:dyDescent="0.25">
      <c r="B474" s="21" t="str" cm="1">
        <f t="array" aca="1" ref="B4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4" s="22" t="str" cm="1">
        <f t="array" aca="1" ref="C4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A474, "'!C:C")),"NOK"))&gt;0, "NOK", "Pending....")),"")</f>
        <v/>
      </c>
      <c r="D474" s="24"/>
      <c r="E474" s="24"/>
      <c r="F474" s="24"/>
      <c r="G474" s="29"/>
      <c r="H474" s="24"/>
    </row>
    <row r="475" spans="2:8" x14ac:dyDescent="0.25">
      <c r="B475" s="21" t="str" cm="1">
        <f t="array" aca="1" ref="B4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5" s="22" t="str" cm="1">
        <f t="array" aca="1" ref="C4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A475, "'!C:C")),"NOK"))&gt;0, "NOK", "Pending....")),"")</f>
        <v/>
      </c>
      <c r="D475" s="24"/>
      <c r="E475" s="24"/>
      <c r="F475" s="24"/>
      <c r="G475" s="29"/>
      <c r="H475" s="24"/>
    </row>
    <row r="476" spans="2:8" x14ac:dyDescent="0.25">
      <c r="B476" s="21" t="str" cm="1">
        <f t="array" aca="1" ref="B4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6" s="22" t="str" cm="1">
        <f t="array" aca="1" ref="C4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A476, "'!C:C")),"NOK"))&gt;0, "NOK", "Pending....")),"")</f>
        <v/>
      </c>
      <c r="D476" s="24"/>
      <c r="E476" s="24"/>
      <c r="F476" s="24"/>
      <c r="G476" s="29"/>
      <c r="H476" s="24"/>
    </row>
    <row r="477" spans="2:8" x14ac:dyDescent="0.25">
      <c r="B477" s="21" t="str" cm="1">
        <f t="array" aca="1" ref="B4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7" s="22" t="str" cm="1">
        <f t="array" aca="1" ref="C4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A477, "'!C:C")),"NOK"))&gt;0, "NOK", "Pending....")),"")</f>
        <v/>
      </c>
      <c r="D477" s="24"/>
      <c r="E477" s="24"/>
      <c r="F477" s="24"/>
      <c r="G477" s="29"/>
      <c r="H477" s="24"/>
    </row>
    <row r="478" spans="2:8" x14ac:dyDescent="0.25">
      <c r="B478" s="21" t="str" cm="1">
        <f t="array" aca="1" ref="B4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8" s="22" t="str" cm="1">
        <f t="array" aca="1" ref="C4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A478, "'!C:C")),"NOK"))&gt;0, "NOK", "Pending....")),"")</f>
        <v/>
      </c>
      <c r="D478" s="24"/>
      <c r="E478" s="24"/>
      <c r="F478" s="24"/>
      <c r="G478" s="29"/>
      <c r="H478" s="24"/>
    </row>
    <row r="479" spans="2:8" x14ac:dyDescent="0.25">
      <c r="B479" s="21" t="str" cm="1">
        <f t="array" aca="1" ref="B4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79" s="22" t="str" cm="1">
        <f t="array" aca="1" ref="C4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A479, "'!C:C")),"NOK"))&gt;0, "NOK", "Pending....")),"")</f>
        <v/>
      </c>
      <c r="D479" s="24"/>
      <c r="E479" s="24"/>
      <c r="F479" s="24"/>
      <c r="G479" s="29"/>
      <c r="H479" s="24"/>
    </row>
    <row r="480" spans="2:8" x14ac:dyDescent="0.25">
      <c r="B480" s="21" t="str" cm="1">
        <f t="array" aca="1" ref="B4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0" s="22" t="str" cm="1">
        <f t="array" aca="1" ref="C4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A480, "'!C:C")),"NOK"))&gt;0, "NOK", "Pending....")),"")</f>
        <v/>
      </c>
      <c r="D480" s="24"/>
      <c r="E480" s="24"/>
      <c r="F480" s="24"/>
      <c r="G480" s="29"/>
      <c r="H480" s="24"/>
    </row>
    <row r="481" spans="2:8" x14ac:dyDescent="0.25">
      <c r="B481" s="21" t="str" cm="1">
        <f t="array" aca="1" ref="B4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1" s="22" t="str" cm="1">
        <f t="array" aca="1" ref="C4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A481, "'!C:C")),"NOK"))&gt;0, "NOK", "Pending....")),"")</f>
        <v/>
      </c>
      <c r="D481" s="24"/>
      <c r="E481" s="24"/>
      <c r="F481" s="24"/>
      <c r="G481" s="29"/>
      <c r="H481" s="24"/>
    </row>
    <row r="482" spans="2:8" x14ac:dyDescent="0.25">
      <c r="B482" s="21" t="str" cm="1">
        <f t="array" aca="1" ref="B4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2" s="22" t="str" cm="1">
        <f t="array" aca="1" ref="C4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A482, "'!C:C")),"NOK"))&gt;0, "NOK", "Pending....")),"")</f>
        <v/>
      </c>
      <c r="D482" s="24"/>
      <c r="E482" s="24"/>
      <c r="F482" s="24"/>
      <c r="G482" s="29"/>
      <c r="H482" s="24"/>
    </row>
    <row r="483" spans="2:8" x14ac:dyDescent="0.25">
      <c r="B483" s="21" t="str" cm="1">
        <f t="array" aca="1" ref="B4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3" s="22" t="str" cm="1">
        <f t="array" aca="1" ref="C4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A483, "'!C:C")),"NOK"))&gt;0, "NOK", "Pending....")),"")</f>
        <v/>
      </c>
      <c r="D483" s="24"/>
      <c r="E483" s="24"/>
      <c r="F483" s="24"/>
      <c r="G483" s="29"/>
      <c r="H483" s="24"/>
    </row>
    <row r="484" spans="2:8" x14ac:dyDescent="0.25">
      <c r="B484" s="21" t="str" cm="1">
        <f t="array" aca="1" ref="B4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4" s="22" t="str" cm="1">
        <f t="array" aca="1" ref="C4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A484, "'!C:C")),"NOK"))&gt;0, "NOK", "Pending....")),"")</f>
        <v/>
      </c>
      <c r="D484" s="24"/>
      <c r="E484" s="24"/>
      <c r="F484" s="24"/>
      <c r="G484" s="29"/>
      <c r="H484" s="24"/>
    </row>
    <row r="485" spans="2:8" x14ac:dyDescent="0.25">
      <c r="B485" s="21" t="str" cm="1">
        <f t="array" aca="1" ref="B4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5" s="22" t="str" cm="1">
        <f t="array" aca="1" ref="C4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A485, "'!C:C")),"NOK"))&gt;0, "NOK", "Pending....")),"")</f>
        <v/>
      </c>
      <c r="D485" s="24"/>
      <c r="E485" s="24"/>
      <c r="F485" s="24"/>
      <c r="G485" s="29"/>
      <c r="H485" s="24"/>
    </row>
    <row r="486" spans="2:8" x14ac:dyDescent="0.25">
      <c r="B486" s="21" t="str" cm="1">
        <f t="array" aca="1" ref="B4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6" s="22" t="str" cm="1">
        <f t="array" aca="1" ref="C4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A486, "'!C:C")),"NOK"))&gt;0, "NOK", "Pending....")),"")</f>
        <v/>
      </c>
      <c r="D486" s="24"/>
      <c r="E486" s="24"/>
      <c r="F486" s="24"/>
      <c r="G486" s="29"/>
      <c r="H486" s="24"/>
    </row>
    <row r="487" spans="2:8" x14ac:dyDescent="0.25">
      <c r="B487" s="21" t="str" cm="1">
        <f t="array" aca="1" ref="B4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7" s="22" t="str" cm="1">
        <f t="array" aca="1" ref="C4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A487, "'!C:C")),"NOK"))&gt;0, "NOK", "Pending....")),"")</f>
        <v/>
      </c>
      <c r="D487" s="24"/>
      <c r="E487" s="24"/>
      <c r="F487" s="24"/>
      <c r="G487" s="29"/>
      <c r="H487" s="24"/>
    </row>
    <row r="488" spans="2:8" x14ac:dyDescent="0.25">
      <c r="B488" s="21" t="str" cm="1">
        <f t="array" aca="1" ref="B4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8" s="22" t="str" cm="1">
        <f t="array" aca="1" ref="C4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A488, "'!C:C")),"NOK"))&gt;0, "NOK", "Pending....")),"")</f>
        <v/>
      </c>
      <c r="D488" s="24"/>
      <c r="E488" s="24"/>
      <c r="F488" s="24"/>
      <c r="G488" s="29"/>
      <c r="H488" s="24"/>
    </row>
    <row r="489" spans="2:8" x14ac:dyDescent="0.25">
      <c r="B489" s="21" t="str" cm="1">
        <f t="array" aca="1" ref="B4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89" s="22" t="str" cm="1">
        <f t="array" aca="1" ref="C4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A489, "'!C:C")),"NOK"))&gt;0, "NOK", "Pending....")),"")</f>
        <v/>
      </c>
      <c r="D489" s="24"/>
      <c r="E489" s="24"/>
      <c r="F489" s="24"/>
      <c r="G489" s="29"/>
      <c r="H489" s="24"/>
    </row>
    <row r="490" spans="2:8" x14ac:dyDescent="0.25">
      <c r="B490" s="21" t="str" cm="1">
        <f t="array" aca="1" ref="B4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0" s="22" t="str" cm="1">
        <f t="array" aca="1" ref="C4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A490, "'!C:C")),"NOK"))&gt;0, "NOK", "Pending....")),"")</f>
        <v/>
      </c>
      <c r="D490" s="24"/>
      <c r="E490" s="24"/>
      <c r="F490" s="24"/>
      <c r="G490" s="29"/>
      <c r="H490" s="24"/>
    </row>
    <row r="491" spans="2:8" x14ac:dyDescent="0.25">
      <c r="B491" s="21" t="str" cm="1">
        <f t="array" aca="1" ref="B4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1" s="22" t="str" cm="1">
        <f t="array" aca="1" ref="C4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A491, "'!C:C")),"NOK"))&gt;0, "NOK", "Pending....")),"")</f>
        <v/>
      </c>
      <c r="D491" s="24"/>
      <c r="E491" s="24"/>
      <c r="F491" s="24"/>
      <c r="G491" s="29"/>
      <c r="H491" s="24"/>
    </row>
    <row r="492" spans="2:8" x14ac:dyDescent="0.25">
      <c r="B492" s="21" t="str" cm="1">
        <f t="array" aca="1" ref="B4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2" s="22" t="str" cm="1">
        <f t="array" aca="1" ref="C4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A492, "'!C:C")),"NOK"))&gt;0, "NOK", "Pending....")),"")</f>
        <v/>
      </c>
      <c r="D492" s="24"/>
      <c r="E492" s="24"/>
      <c r="F492" s="24"/>
      <c r="G492" s="29"/>
      <c r="H492" s="24"/>
    </row>
    <row r="493" spans="2:8" x14ac:dyDescent="0.25">
      <c r="B493" s="21" t="str" cm="1">
        <f t="array" aca="1" ref="B4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3" s="22" t="str" cm="1">
        <f t="array" aca="1" ref="C4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A493, "'!C:C")),"NOK"))&gt;0, "NOK", "Pending....")),"")</f>
        <v/>
      </c>
      <c r="D493" s="24"/>
      <c r="E493" s="24"/>
      <c r="F493" s="24"/>
      <c r="G493" s="29"/>
      <c r="H493" s="24"/>
    </row>
    <row r="494" spans="2:8" x14ac:dyDescent="0.25">
      <c r="B494" s="21" t="str" cm="1">
        <f t="array" aca="1" ref="B4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4" s="22" t="str" cm="1">
        <f t="array" aca="1" ref="C4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A494, "'!C:C")),"NOK"))&gt;0, "NOK", "Pending....")),"")</f>
        <v/>
      </c>
      <c r="D494" s="24"/>
      <c r="E494" s="24"/>
      <c r="F494" s="24"/>
      <c r="G494" s="29"/>
      <c r="H494" s="24"/>
    </row>
    <row r="495" spans="2:8" x14ac:dyDescent="0.25">
      <c r="B495" s="21" t="str" cm="1">
        <f t="array" aca="1" ref="B4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5" s="22" t="str" cm="1">
        <f t="array" aca="1" ref="C4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A495, "'!C:C")),"NOK"))&gt;0, "NOK", "Pending....")),"")</f>
        <v/>
      </c>
      <c r="D495" s="24"/>
      <c r="E495" s="24"/>
      <c r="F495" s="24"/>
      <c r="G495" s="29"/>
      <c r="H495" s="24"/>
    </row>
    <row r="496" spans="2:8" x14ac:dyDescent="0.25">
      <c r="B496" s="21" t="str" cm="1">
        <f t="array" aca="1" ref="B4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6" s="22" t="str" cm="1">
        <f t="array" aca="1" ref="C4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A496, "'!C:C")),"NOK"))&gt;0, "NOK", "Pending....")),"")</f>
        <v/>
      </c>
      <c r="D496" s="24"/>
      <c r="E496" s="24"/>
      <c r="F496" s="24"/>
      <c r="G496" s="29"/>
      <c r="H496" s="24"/>
    </row>
    <row r="497" spans="2:8" x14ac:dyDescent="0.25">
      <c r="B497" s="21" t="str" cm="1">
        <f t="array" aca="1" ref="B4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7" s="22" t="str" cm="1">
        <f t="array" aca="1" ref="C4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A497, "'!C:C")),"NOK"))&gt;0, "NOK", "Pending....")),"")</f>
        <v/>
      </c>
      <c r="D497" s="24"/>
      <c r="E497" s="24"/>
      <c r="F497" s="24"/>
      <c r="G497" s="29"/>
      <c r="H497" s="24"/>
    </row>
    <row r="498" spans="2:8" x14ac:dyDescent="0.25">
      <c r="B498" s="21" t="str" cm="1">
        <f t="array" aca="1" ref="B4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8" s="22" t="str" cm="1">
        <f t="array" aca="1" ref="C4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A498, "'!C:C")),"NOK"))&gt;0, "NOK", "Pending....")),"")</f>
        <v/>
      </c>
      <c r="D498" s="24"/>
      <c r="E498" s="24"/>
      <c r="F498" s="24"/>
      <c r="G498" s="29"/>
      <c r="H498" s="24"/>
    </row>
    <row r="499" spans="2:8" x14ac:dyDescent="0.25">
      <c r="B499" s="21" t="str" cm="1">
        <f t="array" aca="1" ref="B4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499" s="22" t="str" cm="1">
        <f t="array" aca="1" ref="C4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A499, "'!C:C")),"NOK"))&gt;0, "NOK", "Pending....")),"")</f>
        <v/>
      </c>
      <c r="D499" s="24"/>
      <c r="E499" s="24"/>
      <c r="F499" s="24"/>
      <c r="G499" s="29"/>
      <c r="H499" s="24"/>
    </row>
    <row r="500" spans="2:8" x14ac:dyDescent="0.25">
      <c r="B500" s="21" t="str" cm="1">
        <f t="array" aca="1" ref="B5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0" s="22" t="str" cm="1">
        <f t="array" aca="1" ref="C5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A500, "'!C:C")),"NOK"))&gt;0, "NOK", "Pending....")),"")</f>
        <v/>
      </c>
      <c r="D500" s="24"/>
      <c r="E500" s="24"/>
      <c r="F500" s="24"/>
      <c r="G500" s="29"/>
      <c r="H500" s="24"/>
    </row>
    <row r="501" spans="2:8" x14ac:dyDescent="0.25">
      <c r="B501" s="21" t="str" cm="1">
        <f t="array" aca="1" ref="B5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1" s="22" t="str" cm="1">
        <f t="array" aca="1" ref="C5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A501, "'!C:C")),"NOK"))&gt;0, "NOK", "Pending....")),"")</f>
        <v/>
      </c>
      <c r="D501" s="24"/>
      <c r="E501" s="24"/>
      <c r="F501" s="24"/>
      <c r="G501" s="29"/>
      <c r="H501" s="24"/>
    </row>
    <row r="502" spans="2:8" x14ac:dyDescent="0.25">
      <c r="B502" s="21" t="str" cm="1">
        <f t="array" aca="1" ref="B5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2" s="22" t="str" cm="1">
        <f t="array" aca="1" ref="C5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A502, "'!C:C")),"NOK"))&gt;0, "NOK", "Pending....")),"")</f>
        <v/>
      </c>
      <c r="D502" s="24"/>
      <c r="E502" s="24"/>
      <c r="F502" s="24"/>
      <c r="G502" s="29"/>
      <c r="H502" s="24"/>
    </row>
    <row r="503" spans="2:8" x14ac:dyDescent="0.25">
      <c r="B503" s="21" t="str" cm="1">
        <f t="array" aca="1" ref="B5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3" s="22" t="str" cm="1">
        <f t="array" aca="1" ref="C5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A503, "'!C:C")),"NOK"))&gt;0, "NOK", "Pending....")),"")</f>
        <v/>
      </c>
      <c r="D503" s="24"/>
      <c r="E503" s="24"/>
      <c r="F503" s="24"/>
      <c r="G503" s="29"/>
      <c r="H503" s="24"/>
    </row>
    <row r="504" spans="2:8" x14ac:dyDescent="0.25">
      <c r="B504" s="21" t="str" cm="1">
        <f t="array" aca="1" ref="B5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4" s="22" t="str" cm="1">
        <f t="array" aca="1" ref="C5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A504, "'!C:C")),"NOK"))&gt;0, "NOK", "Pending....")),"")</f>
        <v/>
      </c>
      <c r="D504" s="24"/>
      <c r="E504" s="24"/>
      <c r="F504" s="24"/>
      <c r="G504" s="29"/>
      <c r="H504" s="24"/>
    </row>
    <row r="505" spans="2:8" x14ac:dyDescent="0.25">
      <c r="B505" s="21" t="str" cm="1">
        <f t="array" aca="1" ref="B5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5" s="22" t="str" cm="1">
        <f t="array" aca="1" ref="C5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A505, "'!C:C")),"NOK"))&gt;0, "NOK", "Pending....")),"")</f>
        <v/>
      </c>
      <c r="D505" s="24"/>
      <c r="E505" s="24"/>
      <c r="F505" s="24"/>
      <c r="G505" s="29"/>
      <c r="H505" s="24"/>
    </row>
    <row r="506" spans="2:8" x14ac:dyDescent="0.25">
      <c r="B506" s="21" t="str" cm="1">
        <f t="array" aca="1" ref="B5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6" s="22" t="str" cm="1">
        <f t="array" aca="1" ref="C5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A506, "'!C:C")),"NOK"))&gt;0, "NOK", "Pending....")),"")</f>
        <v/>
      </c>
      <c r="D506" s="24"/>
      <c r="E506" s="24"/>
      <c r="F506" s="24"/>
      <c r="G506" s="29"/>
      <c r="H506" s="24"/>
    </row>
    <row r="507" spans="2:8" x14ac:dyDescent="0.25">
      <c r="B507" s="21" t="str" cm="1">
        <f t="array" aca="1" ref="B5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7" s="22" t="str" cm="1">
        <f t="array" aca="1" ref="C5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A507, "'!C:C")),"NOK"))&gt;0, "NOK", "Pending....")),"")</f>
        <v/>
      </c>
      <c r="D507" s="24"/>
      <c r="E507" s="24"/>
      <c r="F507" s="24"/>
      <c r="G507" s="29"/>
      <c r="H507" s="24"/>
    </row>
    <row r="508" spans="2:8" x14ac:dyDescent="0.25">
      <c r="B508" s="21" t="str" cm="1">
        <f t="array" aca="1" ref="B5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8" s="22" t="str" cm="1">
        <f t="array" aca="1" ref="C5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A508, "'!C:C")),"NOK"))&gt;0, "NOK", "Pending....")),"")</f>
        <v/>
      </c>
      <c r="D508" s="24"/>
      <c r="E508" s="24"/>
      <c r="F508" s="24"/>
      <c r="G508" s="29"/>
      <c r="H508" s="24"/>
    </row>
    <row r="509" spans="2:8" x14ac:dyDescent="0.25">
      <c r="B509" s="21" t="str" cm="1">
        <f t="array" aca="1" ref="B5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09" s="22" t="str" cm="1">
        <f t="array" aca="1" ref="C5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A509, "'!C:C")),"NOK"))&gt;0, "NOK", "Pending....")),"")</f>
        <v/>
      </c>
      <c r="D509" s="24"/>
      <c r="E509" s="24"/>
      <c r="F509" s="24"/>
      <c r="G509" s="29"/>
      <c r="H509" s="24"/>
    </row>
    <row r="510" spans="2:8" x14ac:dyDescent="0.25">
      <c r="B510" s="21" t="str" cm="1">
        <f t="array" aca="1" ref="B5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0" s="22" t="str" cm="1">
        <f t="array" aca="1" ref="C5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A510, "'!C:C")),"NOK"))&gt;0, "NOK", "Pending....")),"")</f>
        <v/>
      </c>
      <c r="D510" s="24"/>
      <c r="E510" s="24"/>
      <c r="F510" s="24"/>
      <c r="G510" s="29"/>
      <c r="H510" s="24"/>
    </row>
    <row r="511" spans="2:8" x14ac:dyDescent="0.25">
      <c r="B511" s="21" t="str" cm="1">
        <f t="array" aca="1" ref="B5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1" s="22" t="str" cm="1">
        <f t="array" aca="1" ref="C5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A511, "'!C:C")),"NOK"))&gt;0, "NOK", "Pending....")),"")</f>
        <v/>
      </c>
      <c r="D511" s="24"/>
      <c r="E511" s="24"/>
      <c r="F511" s="24"/>
      <c r="G511" s="29"/>
      <c r="H511" s="24"/>
    </row>
    <row r="512" spans="2:8" x14ac:dyDescent="0.25">
      <c r="B512" s="21" t="str" cm="1">
        <f t="array" aca="1" ref="B5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2" s="22" t="str" cm="1">
        <f t="array" aca="1" ref="C5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A512, "'!C:C")),"NOK"))&gt;0, "NOK", "Pending....")),"")</f>
        <v/>
      </c>
      <c r="D512" s="24"/>
      <c r="E512" s="24"/>
      <c r="F512" s="24"/>
      <c r="G512" s="29"/>
      <c r="H512" s="24"/>
    </row>
    <row r="513" spans="2:8" x14ac:dyDescent="0.25">
      <c r="B513" s="21" t="str" cm="1">
        <f t="array" aca="1" ref="B5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3" s="22" t="str" cm="1">
        <f t="array" aca="1" ref="C5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A513, "'!C:C")),"NOK"))&gt;0, "NOK", "Pending....")),"")</f>
        <v/>
      </c>
      <c r="D513" s="24"/>
      <c r="E513" s="24"/>
      <c r="F513" s="24"/>
      <c r="G513" s="29"/>
      <c r="H513" s="24"/>
    </row>
    <row r="514" spans="2:8" x14ac:dyDescent="0.25">
      <c r="B514" s="21" t="str" cm="1">
        <f t="array" aca="1" ref="B5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4" s="22" t="str" cm="1">
        <f t="array" aca="1" ref="C5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A514, "'!C:C")),"NOK"))&gt;0, "NOK", "Pending....")),"")</f>
        <v/>
      </c>
      <c r="D514" s="24"/>
      <c r="E514" s="24"/>
      <c r="F514" s="24"/>
      <c r="G514" s="29"/>
      <c r="H514" s="24"/>
    </row>
    <row r="515" spans="2:8" x14ac:dyDescent="0.25">
      <c r="B515" s="21" t="str" cm="1">
        <f t="array" aca="1" ref="B5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5" s="22" t="str" cm="1">
        <f t="array" aca="1" ref="C5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A515, "'!C:C")),"NOK"))&gt;0, "NOK", "Pending....")),"")</f>
        <v/>
      </c>
      <c r="D515" s="24"/>
      <c r="E515" s="24"/>
      <c r="F515" s="24"/>
      <c r="G515" s="29"/>
      <c r="H515" s="24"/>
    </row>
    <row r="516" spans="2:8" x14ac:dyDescent="0.25">
      <c r="B516" s="21" t="str" cm="1">
        <f t="array" aca="1" ref="B5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6" s="22" t="str" cm="1">
        <f t="array" aca="1" ref="C5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A516, "'!C:C")),"NOK"))&gt;0, "NOK", "Pending....")),"")</f>
        <v/>
      </c>
      <c r="D516" s="24"/>
      <c r="E516" s="24"/>
      <c r="F516" s="24"/>
      <c r="G516" s="29"/>
      <c r="H516" s="24"/>
    </row>
    <row r="517" spans="2:8" x14ac:dyDescent="0.25">
      <c r="B517" s="21" t="str" cm="1">
        <f t="array" aca="1" ref="B5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7" s="22" t="str" cm="1">
        <f t="array" aca="1" ref="C5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A517, "'!C:C")),"NOK"))&gt;0, "NOK", "Pending....")),"")</f>
        <v/>
      </c>
      <c r="D517" s="24"/>
      <c r="E517" s="24"/>
      <c r="F517" s="24"/>
      <c r="G517" s="29"/>
      <c r="H517" s="24"/>
    </row>
    <row r="518" spans="2:8" x14ac:dyDescent="0.25">
      <c r="B518" s="21" t="str" cm="1">
        <f t="array" aca="1" ref="B5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8" s="22" t="str" cm="1">
        <f t="array" aca="1" ref="C5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A518, "'!C:C")),"NOK"))&gt;0, "NOK", "Pending....")),"")</f>
        <v/>
      </c>
      <c r="D518" s="24"/>
      <c r="E518" s="24"/>
      <c r="F518" s="24"/>
      <c r="G518" s="29"/>
      <c r="H518" s="24"/>
    </row>
    <row r="519" spans="2:8" x14ac:dyDescent="0.25">
      <c r="B519" s="21" t="str" cm="1">
        <f t="array" aca="1" ref="B5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19" s="22" t="str" cm="1">
        <f t="array" aca="1" ref="C5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A519, "'!C:C")),"NOK"))&gt;0, "NOK", "Pending....")),"")</f>
        <v/>
      </c>
      <c r="D519" s="24"/>
      <c r="E519" s="24"/>
      <c r="F519" s="24"/>
      <c r="G519" s="29"/>
      <c r="H519" s="24"/>
    </row>
    <row r="520" spans="2:8" x14ac:dyDescent="0.25">
      <c r="B520" s="21" t="str" cm="1">
        <f t="array" aca="1" ref="B5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0" s="22" t="str" cm="1">
        <f t="array" aca="1" ref="C5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A520, "'!C:C")),"NOK"))&gt;0, "NOK", "Pending....")),"")</f>
        <v/>
      </c>
      <c r="D520" s="24"/>
      <c r="E520" s="24"/>
      <c r="F520" s="24"/>
      <c r="G520" s="29"/>
      <c r="H520" s="24"/>
    </row>
    <row r="521" spans="2:8" x14ac:dyDescent="0.25">
      <c r="B521" s="21" t="str" cm="1">
        <f t="array" aca="1" ref="B5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1" s="22" t="str" cm="1">
        <f t="array" aca="1" ref="C5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A521, "'!C:C")),"NOK"))&gt;0, "NOK", "Pending....")),"")</f>
        <v/>
      </c>
      <c r="D521" s="24"/>
      <c r="E521" s="24"/>
      <c r="F521" s="24"/>
      <c r="G521" s="29"/>
      <c r="H521" s="24"/>
    </row>
    <row r="522" spans="2:8" x14ac:dyDescent="0.25">
      <c r="B522" s="21" t="str" cm="1">
        <f t="array" aca="1" ref="B5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2" s="22" t="str" cm="1">
        <f t="array" aca="1" ref="C5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A522, "'!C:C")),"NOK"))&gt;0, "NOK", "Pending....")),"")</f>
        <v/>
      </c>
      <c r="D522" s="24"/>
      <c r="E522" s="24"/>
      <c r="F522" s="24"/>
      <c r="G522" s="29"/>
      <c r="H522" s="24"/>
    </row>
    <row r="523" spans="2:8" x14ac:dyDescent="0.25">
      <c r="B523" s="21" t="str" cm="1">
        <f t="array" aca="1" ref="B5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3" s="22" t="str" cm="1">
        <f t="array" aca="1" ref="C5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A523, "'!C:C")),"NOK"))&gt;0, "NOK", "Pending....")),"")</f>
        <v/>
      </c>
      <c r="D523" s="24"/>
      <c r="E523" s="24"/>
      <c r="F523" s="24"/>
      <c r="G523" s="29"/>
      <c r="H523" s="24"/>
    </row>
    <row r="524" spans="2:8" x14ac:dyDescent="0.25">
      <c r="B524" s="21" t="str" cm="1">
        <f t="array" aca="1" ref="B5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4" s="22" t="str" cm="1">
        <f t="array" aca="1" ref="C5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A524, "'!C:C")),"NOK"))&gt;0, "NOK", "Pending....")),"")</f>
        <v/>
      </c>
      <c r="D524" s="24"/>
      <c r="E524" s="24"/>
      <c r="F524" s="24"/>
      <c r="G524" s="29"/>
      <c r="H524" s="24"/>
    </row>
    <row r="525" spans="2:8" x14ac:dyDescent="0.25">
      <c r="B525" s="21" t="str" cm="1">
        <f t="array" aca="1" ref="B5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5" s="22" t="str" cm="1">
        <f t="array" aca="1" ref="C5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A525, "'!C:C")),"NOK"))&gt;0, "NOK", "Pending....")),"")</f>
        <v/>
      </c>
      <c r="D525" s="24"/>
      <c r="E525" s="24"/>
      <c r="F525" s="24"/>
      <c r="G525" s="29"/>
      <c r="H525" s="24"/>
    </row>
    <row r="526" spans="2:8" x14ac:dyDescent="0.25">
      <c r="B526" s="21" t="str" cm="1">
        <f t="array" aca="1" ref="B5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6" s="22" t="str" cm="1">
        <f t="array" aca="1" ref="C5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A526, "'!C:C")),"NOK"))&gt;0, "NOK", "Pending....")),"")</f>
        <v/>
      </c>
      <c r="D526" s="24"/>
      <c r="E526" s="24"/>
      <c r="F526" s="24"/>
      <c r="G526" s="29"/>
      <c r="H526" s="24"/>
    </row>
    <row r="527" spans="2:8" x14ac:dyDescent="0.25">
      <c r="B527" s="21" t="str" cm="1">
        <f t="array" aca="1" ref="B5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7" s="22" t="str" cm="1">
        <f t="array" aca="1" ref="C5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A527, "'!C:C")),"NOK"))&gt;0, "NOK", "Pending....")),"")</f>
        <v/>
      </c>
      <c r="D527" s="24"/>
      <c r="E527" s="24"/>
      <c r="F527" s="24"/>
      <c r="G527" s="29"/>
      <c r="H527" s="24"/>
    </row>
    <row r="528" spans="2:8" x14ac:dyDescent="0.25">
      <c r="B528" s="21" t="str" cm="1">
        <f t="array" aca="1" ref="B5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8" s="22" t="str" cm="1">
        <f t="array" aca="1" ref="C5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A528, "'!C:C")),"NOK"))&gt;0, "NOK", "Pending....")),"")</f>
        <v/>
      </c>
      <c r="D528" s="24"/>
      <c r="E528" s="24"/>
      <c r="F528" s="24"/>
      <c r="G528" s="29"/>
      <c r="H528" s="24"/>
    </row>
    <row r="529" spans="2:8" x14ac:dyDescent="0.25">
      <c r="B529" s="21" t="str" cm="1">
        <f t="array" aca="1" ref="B5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29" s="22" t="str" cm="1">
        <f t="array" aca="1" ref="C5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A529, "'!C:C")),"NOK"))&gt;0, "NOK", "Pending....")),"")</f>
        <v/>
      </c>
      <c r="D529" s="24"/>
      <c r="E529" s="24"/>
      <c r="F529" s="24"/>
      <c r="G529" s="29"/>
      <c r="H529" s="24"/>
    </row>
    <row r="530" spans="2:8" x14ac:dyDescent="0.25">
      <c r="B530" s="21" t="str" cm="1">
        <f t="array" aca="1" ref="B5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0" s="22" t="str" cm="1">
        <f t="array" aca="1" ref="C5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A530, "'!C:C")),"NOK"))&gt;0, "NOK", "Pending....")),"")</f>
        <v/>
      </c>
      <c r="D530" s="24"/>
      <c r="E530" s="24"/>
      <c r="F530" s="24"/>
      <c r="G530" s="29"/>
      <c r="H530" s="24"/>
    </row>
    <row r="531" spans="2:8" x14ac:dyDescent="0.25">
      <c r="B531" s="21" t="str" cm="1">
        <f t="array" aca="1" ref="B5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1" s="22" t="str" cm="1">
        <f t="array" aca="1" ref="C5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A531, "'!C:C")),"NOK"))&gt;0, "NOK", "Pending....")),"")</f>
        <v/>
      </c>
      <c r="D531" s="24"/>
      <c r="E531" s="24"/>
      <c r="F531" s="24"/>
      <c r="G531" s="29"/>
      <c r="H531" s="24"/>
    </row>
    <row r="532" spans="2:8" x14ac:dyDescent="0.25">
      <c r="B532" s="21" t="str" cm="1">
        <f t="array" aca="1" ref="B5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2" s="22" t="str" cm="1">
        <f t="array" aca="1" ref="C5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A532, "'!C:C")),"NOK"))&gt;0, "NOK", "Pending....")),"")</f>
        <v/>
      </c>
      <c r="D532" s="24"/>
      <c r="E532" s="24"/>
      <c r="F532" s="24"/>
      <c r="G532" s="29"/>
      <c r="H532" s="24"/>
    </row>
    <row r="533" spans="2:8" x14ac:dyDescent="0.25">
      <c r="B533" s="21" t="str" cm="1">
        <f t="array" aca="1" ref="B5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3" s="22" t="str" cm="1">
        <f t="array" aca="1" ref="C5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A533, "'!C:C")),"NOK"))&gt;0, "NOK", "Pending....")),"")</f>
        <v/>
      </c>
      <c r="D533" s="24"/>
      <c r="E533" s="24"/>
      <c r="F533" s="24"/>
      <c r="G533" s="29"/>
      <c r="H533" s="24"/>
    </row>
    <row r="534" spans="2:8" x14ac:dyDescent="0.25">
      <c r="B534" s="21" t="str" cm="1">
        <f t="array" aca="1" ref="B5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4" s="22" t="str" cm="1">
        <f t="array" aca="1" ref="C5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A534, "'!C:C")),"NOK"))&gt;0, "NOK", "Pending....")),"")</f>
        <v/>
      </c>
      <c r="D534" s="24"/>
      <c r="E534" s="24"/>
      <c r="F534" s="24"/>
      <c r="G534" s="29"/>
      <c r="H534" s="24"/>
    </row>
    <row r="535" spans="2:8" x14ac:dyDescent="0.25">
      <c r="B535" s="21" t="str" cm="1">
        <f t="array" aca="1" ref="B5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5" s="22" t="str" cm="1">
        <f t="array" aca="1" ref="C5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A535, "'!C:C")),"NOK"))&gt;0, "NOK", "Pending....")),"")</f>
        <v/>
      </c>
      <c r="D535" s="24"/>
      <c r="E535" s="24"/>
      <c r="F535" s="24"/>
      <c r="G535" s="29"/>
      <c r="H535" s="24"/>
    </row>
    <row r="536" spans="2:8" x14ac:dyDescent="0.25">
      <c r="B536" s="21" t="str" cm="1">
        <f t="array" aca="1" ref="B5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6" s="22" t="str" cm="1">
        <f t="array" aca="1" ref="C5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A536, "'!C:C")),"NOK"))&gt;0, "NOK", "Pending....")),"")</f>
        <v/>
      </c>
      <c r="D536" s="24"/>
      <c r="E536" s="24"/>
      <c r="F536" s="24"/>
      <c r="G536" s="29"/>
      <c r="H536" s="24"/>
    </row>
    <row r="537" spans="2:8" x14ac:dyDescent="0.25">
      <c r="B537" s="21" t="str" cm="1">
        <f t="array" aca="1" ref="B5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7" s="22" t="str" cm="1">
        <f t="array" aca="1" ref="C5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A537, "'!C:C")),"NOK"))&gt;0, "NOK", "Pending....")),"")</f>
        <v/>
      </c>
      <c r="D537" s="24"/>
      <c r="E537" s="24"/>
      <c r="F537" s="24"/>
      <c r="G537" s="29"/>
      <c r="H537" s="24"/>
    </row>
    <row r="538" spans="2:8" x14ac:dyDescent="0.25">
      <c r="B538" s="21" t="str" cm="1">
        <f t="array" aca="1" ref="B5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8" s="22" t="str" cm="1">
        <f t="array" aca="1" ref="C5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A538, "'!C:C")),"NOK"))&gt;0, "NOK", "Pending....")),"")</f>
        <v/>
      </c>
      <c r="D538" s="24"/>
      <c r="E538" s="24"/>
      <c r="F538" s="24"/>
      <c r="G538" s="29"/>
      <c r="H538" s="24"/>
    </row>
    <row r="539" spans="2:8" x14ac:dyDescent="0.25">
      <c r="B539" s="21" t="str" cm="1">
        <f t="array" aca="1" ref="B5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39" s="22" t="str" cm="1">
        <f t="array" aca="1" ref="C5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A539, "'!C:C")),"NOK"))&gt;0, "NOK", "Pending....")),"")</f>
        <v/>
      </c>
      <c r="D539" s="24"/>
      <c r="E539" s="24"/>
      <c r="F539" s="24"/>
      <c r="G539" s="29"/>
      <c r="H539" s="24"/>
    </row>
    <row r="540" spans="2:8" x14ac:dyDescent="0.25">
      <c r="B540" s="21" t="str" cm="1">
        <f t="array" aca="1" ref="B5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0" s="22" t="str" cm="1">
        <f t="array" aca="1" ref="C5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A540, "'!C:C")),"NOK"))&gt;0, "NOK", "Pending....")),"")</f>
        <v/>
      </c>
      <c r="D540" s="24"/>
      <c r="E540" s="24"/>
      <c r="F540" s="24"/>
      <c r="G540" s="29"/>
      <c r="H540" s="24"/>
    </row>
    <row r="541" spans="2:8" x14ac:dyDescent="0.25">
      <c r="B541" s="21" t="str" cm="1">
        <f t="array" aca="1" ref="B5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1" s="22" t="str" cm="1">
        <f t="array" aca="1" ref="C5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A541, "'!C:C")),"NOK"))&gt;0, "NOK", "Pending....")),"")</f>
        <v/>
      </c>
      <c r="D541" s="24"/>
      <c r="E541" s="24"/>
      <c r="F541" s="24"/>
      <c r="G541" s="29"/>
      <c r="H541" s="24"/>
    </row>
    <row r="542" spans="2:8" x14ac:dyDescent="0.25">
      <c r="B542" s="21" t="str" cm="1">
        <f t="array" aca="1" ref="B5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2" s="22" t="str" cm="1">
        <f t="array" aca="1" ref="C5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A542, "'!C:C")),"NOK"))&gt;0, "NOK", "Pending....")),"")</f>
        <v/>
      </c>
      <c r="D542" s="24"/>
      <c r="E542" s="24"/>
      <c r="F542" s="24"/>
      <c r="G542" s="29"/>
      <c r="H542" s="24"/>
    </row>
    <row r="543" spans="2:8" x14ac:dyDescent="0.25">
      <c r="B543" s="21" t="str" cm="1">
        <f t="array" aca="1" ref="B5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3" s="22" t="str" cm="1">
        <f t="array" aca="1" ref="C5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A543, "'!C:C")),"NOK"))&gt;0, "NOK", "Pending....")),"")</f>
        <v/>
      </c>
      <c r="D543" s="24"/>
      <c r="E543" s="24"/>
      <c r="F543" s="24"/>
      <c r="G543" s="29"/>
      <c r="H543" s="24"/>
    </row>
    <row r="544" spans="2:8" x14ac:dyDescent="0.25">
      <c r="B544" s="21" t="str" cm="1">
        <f t="array" aca="1" ref="B5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4" s="22" t="str" cm="1">
        <f t="array" aca="1" ref="C5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A544, "'!C:C")),"NOK"))&gt;0, "NOK", "Pending....")),"")</f>
        <v/>
      </c>
      <c r="D544" s="24"/>
      <c r="E544" s="24"/>
      <c r="F544" s="24"/>
      <c r="G544" s="29"/>
      <c r="H544" s="24"/>
    </row>
    <row r="545" spans="2:8" x14ac:dyDescent="0.25">
      <c r="B545" s="21" t="str" cm="1">
        <f t="array" aca="1" ref="B5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5" s="22" t="str" cm="1">
        <f t="array" aca="1" ref="C5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A545, "'!C:C")),"NOK"))&gt;0, "NOK", "Pending....")),"")</f>
        <v/>
      </c>
      <c r="D545" s="24"/>
      <c r="E545" s="24"/>
      <c r="F545" s="24"/>
      <c r="G545" s="29"/>
      <c r="H545" s="24"/>
    </row>
    <row r="546" spans="2:8" x14ac:dyDescent="0.25">
      <c r="B546" s="21" t="str" cm="1">
        <f t="array" aca="1" ref="B5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6" s="22" t="str" cm="1">
        <f t="array" aca="1" ref="C5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A546, "'!C:C")),"NOK"))&gt;0, "NOK", "Pending....")),"")</f>
        <v/>
      </c>
      <c r="D546" s="24"/>
      <c r="E546" s="24"/>
      <c r="F546" s="24"/>
      <c r="G546" s="29"/>
      <c r="H546" s="24"/>
    </row>
    <row r="547" spans="2:8" x14ac:dyDescent="0.25">
      <c r="B547" s="21" t="str" cm="1">
        <f t="array" aca="1" ref="B5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7" s="22" t="str" cm="1">
        <f t="array" aca="1" ref="C5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A547, "'!C:C")),"NOK"))&gt;0, "NOK", "Pending....")),"")</f>
        <v/>
      </c>
      <c r="D547" s="24"/>
      <c r="E547" s="24"/>
      <c r="F547" s="24"/>
      <c r="G547" s="29"/>
      <c r="H547" s="24"/>
    </row>
    <row r="548" spans="2:8" x14ac:dyDescent="0.25">
      <c r="B548" s="21" t="str" cm="1">
        <f t="array" aca="1" ref="B5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8" s="22" t="str" cm="1">
        <f t="array" aca="1" ref="C5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A548, "'!C:C")),"NOK"))&gt;0, "NOK", "Pending....")),"")</f>
        <v/>
      </c>
      <c r="D548" s="24"/>
      <c r="E548" s="24"/>
      <c r="F548" s="24"/>
      <c r="G548" s="29"/>
      <c r="H548" s="24"/>
    </row>
    <row r="549" spans="2:8" x14ac:dyDescent="0.25">
      <c r="B549" s="21" t="str" cm="1">
        <f t="array" aca="1" ref="B5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49" s="22" t="str" cm="1">
        <f t="array" aca="1" ref="C5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A549, "'!C:C")),"NOK"))&gt;0, "NOK", "Pending....")),"")</f>
        <v/>
      </c>
      <c r="D549" s="24"/>
      <c r="E549" s="24"/>
      <c r="F549" s="24"/>
      <c r="G549" s="29"/>
      <c r="H549" s="24"/>
    </row>
    <row r="550" spans="2:8" x14ac:dyDescent="0.25">
      <c r="B550" s="21" t="str" cm="1">
        <f t="array" aca="1" ref="B5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0" s="22" t="str" cm="1">
        <f t="array" aca="1" ref="C5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A550, "'!C:C")),"NOK"))&gt;0, "NOK", "Pending....")),"")</f>
        <v/>
      </c>
      <c r="D550" s="24"/>
      <c r="E550" s="24"/>
      <c r="F550" s="24"/>
      <c r="G550" s="29"/>
      <c r="H550" s="24"/>
    </row>
    <row r="551" spans="2:8" x14ac:dyDescent="0.25">
      <c r="B551" s="21" t="str" cm="1">
        <f t="array" aca="1" ref="B5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1" s="22" t="str" cm="1">
        <f t="array" aca="1" ref="C5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A551, "'!C:C")),"NOK"))&gt;0, "NOK", "Pending....")),"")</f>
        <v/>
      </c>
      <c r="D551" s="24"/>
      <c r="E551" s="24"/>
      <c r="F551" s="24"/>
      <c r="G551" s="29"/>
      <c r="H551" s="24"/>
    </row>
    <row r="552" spans="2:8" x14ac:dyDescent="0.25">
      <c r="B552" s="21" t="str" cm="1">
        <f t="array" aca="1" ref="B5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2" s="22" t="str" cm="1">
        <f t="array" aca="1" ref="C5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A552, "'!C:C")),"NOK"))&gt;0, "NOK", "Pending....")),"")</f>
        <v/>
      </c>
      <c r="D552" s="24"/>
      <c r="E552" s="24"/>
      <c r="F552" s="24"/>
      <c r="G552" s="29"/>
      <c r="H552" s="24"/>
    </row>
    <row r="553" spans="2:8" x14ac:dyDescent="0.25">
      <c r="B553" s="21" t="str" cm="1">
        <f t="array" aca="1" ref="B5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3" s="22" t="str" cm="1">
        <f t="array" aca="1" ref="C5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A553, "'!C:C")),"NOK"))&gt;0, "NOK", "Pending....")),"")</f>
        <v/>
      </c>
      <c r="D553" s="24"/>
      <c r="E553" s="24"/>
      <c r="F553" s="24"/>
      <c r="G553" s="29"/>
      <c r="H553" s="24"/>
    </row>
    <row r="554" spans="2:8" x14ac:dyDescent="0.25">
      <c r="B554" s="21" t="str" cm="1">
        <f t="array" aca="1" ref="B5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4" s="22" t="str" cm="1">
        <f t="array" aca="1" ref="C5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A554, "'!C:C")),"NOK"))&gt;0, "NOK", "Pending....")),"")</f>
        <v/>
      </c>
      <c r="D554" s="24"/>
      <c r="E554" s="24"/>
      <c r="F554" s="24"/>
      <c r="G554" s="29"/>
      <c r="H554" s="24"/>
    </row>
    <row r="555" spans="2:8" x14ac:dyDescent="0.25">
      <c r="B555" s="21" t="str" cm="1">
        <f t="array" aca="1" ref="B5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5" s="22" t="str" cm="1">
        <f t="array" aca="1" ref="C5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A555, "'!C:C")),"NOK"))&gt;0, "NOK", "Pending....")),"")</f>
        <v/>
      </c>
      <c r="D555" s="24"/>
      <c r="E555" s="24"/>
      <c r="F555" s="24"/>
      <c r="G555" s="29"/>
      <c r="H555" s="24"/>
    </row>
    <row r="556" spans="2:8" x14ac:dyDescent="0.25">
      <c r="B556" s="21" t="str" cm="1">
        <f t="array" aca="1" ref="B5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6" s="22" t="str" cm="1">
        <f t="array" aca="1" ref="C5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A556, "'!C:C")),"NOK"))&gt;0, "NOK", "Pending....")),"")</f>
        <v/>
      </c>
      <c r="D556" s="24"/>
      <c r="E556" s="24"/>
      <c r="F556" s="24"/>
      <c r="G556" s="29"/>
      <c r="H556" s="24"/>
    </row>
    <row r="557" spans="2:8" x14ac:dyDescent="0.25">
      <c r="B557" s="21" t="str" cm="1">
        <f t="array" aca="1" ref="B5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7" s="22" t="str" cm="1">
        <f t="array" aca="1" ref="C5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A557, "'!C:C")),"NOK"))&gt;0, "NOK", "Pending....")),"")</f>
        <v/>
      </c>
      <c r="D557" s="24"/>
      <c r="E557" s="24"/>
      <c r="F557" s="24"/>
      <c r="G557" s="29"/>
      <c r="H557" s="24"/>
    </row>
    <row r="558" spans="2:8" x14ac:dyDescent="0.25">
      <c r="B558" s="21" t="str" cm="1">
        <f t="array" aca="1" ref="B5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8" s="22" t="str" cm="1">
        <f t="array" aca="1" ref="C5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A558, "'!C:C")),"NOK"))&gt;0, "NOK", "Pending....")),"")</f>
        <v/>
      </c>
      <c r="D558" s="24"/>
      <c r="E558" s="24"/>
      <c r="F558" s="24"/>
      <c r="G558" s="29"/>
      <c r="H558" s="24"/>
    </row>
    <row r="559" spans="2:8" x14ac:dyDescent="0.25">
      <c r="B559" s="21" t="str" cm="1">
        <f t="array" aca="1" ref="B5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59" s="22" t="str" cm="1">
        <f t="array" aca="1" ref="C5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A559, "'!C:C")),"NOK"))&gt;0, "NOK", "Pending....")),"")</f>
        <v/>
      </c>
      <c r="D559" s="24"/>
      <c r="E559" s="24"/>
      <c r="F559" s="24"/>
      <c r="G559" s="29"/>
      <c r="H559" s="24"/>
    </row>
    <row r="560" spans="2:8" x14ac:dyDescent="0.25">
      <c r="B560" s="21" t="str" cm="1">
        <f t="array" aca="1" ref="B5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0" s="22" t="str" cm="1">
        <f t="array" aca="1" ref="C5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A560, "'!C:C")),"NOK"))&gt;0, "NOK", "Pending....")),"")</f>
        <v/>
      </c>
      <c r="D560" s="24"/>
      <c r="E560" s="24"/>
      <c r="F560" s="24"/>
      <c r="G560" s="29"/>
      <c r="H560" s="24"/>
    </row>
    <row r="561" spans="2:8" x14ac:dyDescent="0.25">
      <c r="B561" s="21" t="str" cm="1">
        <f t="array" aca="1" ref="B5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1" s="22" t="str" cm="1">
        <f t="array" aca="1" ref="C5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A561, "'!C:C")),"NOK"))&gt;0, "NOK", "Pending....")),"")</f>
        <v/>
      </c>
      <c r="D561" s="24"/>
      <c r="E561" s="24"/>
      <c r="F561" s="24"/>
      <c r="G561" s="29"/>
      <c r="H561" s="24"/>
    </row>
    <row r="562" spans="2:8" x14ac:dyDescent="0.25">
      <c r="B562" s="21" t="str" cm="1">
        <f t="array" aca="1" ref="B5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2" s="22" t="str" cm="1">
        <f t="array" aca="1" ref="C5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A562, "'!C:C")),"NOK"))&gt;0, "NOK", "Pending....")),"")</f>
        <v/>
      </c>
      <c r="D562" s="24"/>
      <c r="E562" s="24"/>
      <c r="F562" s="24"/>
      <c r="G562" s="29"/>
      <c r="H562" s="24"/>
    </row>
    <row r="563" spans="2:8" x14ac:dyDescent="0.25">
      <c r="B563" s="21" t="str" cm="1">
        <f t="array" aca="1" ref="B5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3" s="22" t="str" cm="1">
        <f t="array" aca="1" ref="C5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A563, "'!C:C")),"NOK"))&gt;0, "NOK", "Pending....")),"")</f>
        <v/>
      </c>
      <c r="D563" s="24"/>
      <c r="E563" s="24"/>
      <c r="F563" s="24"/>
      <c r="G563" s="29"/>
      <c r="H563" s="24"/>
    </row>
    <row r="564" spans="2:8" x14ac:dyDescent="0.25">
      <c r="B564" s="21" t="str" cm="1">
        <f t="array" aca="1" ref="B5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4" s="22" t="str" cm="1">
        <f t="array" aca="1" ref="C5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A564, "'!C:C")),"NOK"))&gt;0, "NOK", "Pending....")),"")</f>
        <v/>
      </c>
      <c r="D564" s="24"/>
      <c r="E564" s="24"/>
      <c r="F564" s="24"/>
      <c r="G564" s="29"/>
      <c r="H564" s="24"/>
    </row>
    <row r="565" spans="2:8" x14ac:dyDescent="0.25">
      <c r="B565" s="21" t="str" cm="1">
        <f t="array" aca="1" ref="B5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5" s="22" t="str" cm="1">
        <f t="array" aca="1" ref="C5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A565, "'!C:C")),"NOK"))&gt;0, "NOK", "Pending....")),"")</f>
        <v/>
      </c>
      <c r="D565" s="24"/>
      <c r="E565" s="24"/>
      <c r="F565" s="24"/>
      <c r="G565" s="29"/>
      <c r="H565" s="24"/>
    </row>
    <row r="566" spans="2:8" x14ac:dyDescent="0.25">
      <c r="B566" s="21" t="str" cm="1">
        <f t="array" aca="1" ref="B5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6" s="22" t="str" cm="1">
        <f t="array" aca="1" ref="C5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A566, "'!C:C")),"NOK"))&gt;0, "NOK", "Pending....")),"")</f>
        <v/>
      </c>
      <c r="D566" s="24"/>
      <c r="E566" s="24"/>
      <c r="F566" s="24"/>
      <c r="G566" s="29"/>
      <c r="H566" s="24"/>
    </row>
    <row r="567" spans="2:8" x14ac:dyDescent="0.25">
      <c r="B567" s="21" t="str" cm="1">
        <f t="array" aca="1" ref="B5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7" s="22" t="str" cm="1">
        <f t="array" aca="1" ref="C5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A567, "'!C:C")),"NOK"))&gt;0, "NOK", "Pending....")),"")</f>
        <v/>
      </c>
      <c r="D567" s="24"/>
      <c r="E567" s="24"/>
      <c r="F567" s="24"/>
      <c r="G567" s="29"/>
      <c r="H567" s="24"/>
    </row>
    <row r="568" spans="2:8" x14ac:dyDescent="0.25">
      <c r="B568" s="21" t="str" cm="1">
        <f t="array" aca="1" ref="B5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8" s="22" t="str" cm="1">
        <f t="array" aca="1" ref="C5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A568, "'!C:C")),"NOK"))&gt;0, "NOK", "Pending....")),"")</f>
        <v/>
      </c>
      <c r="D568" s="24"/>
      <c r="E568" s="24"/>
      <c r="F568" s="24"/>
      <c r="G568" s="29"/>
      <c r="H568" s="24"/>
    </row>
    <row r="569" spans="2:8" x14ac:dyDescent="0.25">
      <c r="B569" s="21" t="str" cm="1">
        <f t="array" aca="1" ref="B5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69" s="22" t="str" cm="1">
        <f t="array" aca="1" ref="C5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A569, "'!C:C")),"NOK"))&gt;0, "NOK", "Pending....")),"")</f>
        <v/>
      </c>
      <c r="D569" s="24"/>
      <c r="E569" s="24"/>
      <c r="F569" s="24"/>
      <c r="G569" s="29"/>
      <c r="H569" s="24"/>
    </row>
    <row r="570" spans="2:8" x14ac:dyDescent="0.25">
      <c r="B570" s="21" t="str" cm="1">
        <f t="array" aca="1" ref="B5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0" s="22" t="str" cm="1">
        <f t="array" aca="1" ref="C5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A570, "'!C:C")),"NOK"))&gt;0, "NOK", "Pending....")),"")</f>
        <v/>
      </c>
      <c r="D570" s="24"/>
      <c r="E570" s="24"/>
      <c r="F570" s="24"/>
      <c r="G570" s="29"/>
      <c r="H570" s="24"/>
    </row>
    <row r="571" spans="2:8" x14ac:dyDescent="0.25">
      <c r="B571" s="21" t="str" cm="1">
        <f t="array" aca="1" ref="B5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1" s="22" t="str" cm="1">
        <f t="array" aca="1" ref="C5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A571, "'!C:C")),"NOK"))&gt;0, "NOK", "Pending....")),"")</f>
        <v/>
      </c>
      <c r="D571" s="24"/>
      <c r="E571" s="24"/>
      <c r="F571" s="24"/>
      <c r="G571" s="29"/>
      <c r="H571" s="24"/>
    </row>
    <row r="572" spans="2:8" x14ac:dyDescent="0.25">
      <c r="B572" s="21" t="str" cm="1">
        <f t="array" aca="1" ref="B5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2" s="22" t="str" cm="1">
        <f t="array" aca="1" ref="C5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A572, "'!C:C")),"NOK"))&gt;0, "NOK", "Pending....")),"")</f>
        <v/>
      </c>
      <c r="D572" s="24"/>
      <c r="E572" s="24"/>
      <c r="F572" s="24"/>
      <c r="G572" s="29"/>
      <c r="H572" s="24"/>
    </row>
    <row r="573" spans="2:8" x14ac:dyDescent="0.25">
      <c r="B573" s="21" t="str" cm="1">
        <f t="array" aca="1" ref="B5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3" s="22" t="str" cm="1">
        <f t="array" aca="1" ref="C5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A573, "'!C:C")),"NOK"))&gt;0, "NOK", "Pending....")),"")</f>
        <v/>
      </c>
      <c r="D573" s="24"/>
      <c r="E573" s="24"/>
      <c r="F573" s="24"/>
      <c r="G573" s="29"/>
      <c r="H573" s="24"/>
    </row>
    <row r="574" spans="2:8" x14ac:dyDescent="0.25">
      <c r="B574" s="21" t="str" cm="1">
        <f t="array" aca="1" ref="B5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4" s="22" t="str" cm="1">
        <f t="array" aca="1" ref="C5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A574, "'!C:C")),"NOK"))&gt;0, "NOK", "Pending....")),"")</f>
        <v/>
      </c>
      <c r="D574" s="24"/>
      <c r="E574" s="24"/>
      <c r="F574" s="24"/>
      <c r="G574" s="29"/>
      <c r="H574" s="24"/>
    </row>
    <row r="575" spans="2:8" x14ac:dyDescent="0.25">
      <c r="B575" s="21" t="str" cm="1">
        <f t="array" aca="1" ref="B5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5" s="22" t="str" cm="1">
        <f t="array" aca="1" ref="C5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A575, "'!C:C")),"NOK"))&gt;0, "NOK", "Pending....")),"")</f>
        <v/>
      </c>
      <c r="D575" s="24"/>
      <c r="E575" s="24"/>
      <c r="F575" s="24"/>
      <c r="G575" s="29"/>
      <c r="H575" s="24"/>
    </row>
    <row r="576" spans="2:8" x14ac:dyDescent="0.25">
      <c r="B576" s="21" t="str" cm="1">
        <f t="array" aca="1" ref="B5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6" s="22" t="str" cm="1">
        <f t="array" aca="1" ref="C5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A576, "'!C:C")),"NOK"))&gt;0, "NOK", "Pending....")),"")</f>
        <v/>
      </c>
      <c r="D576" s="24"/>
      <c r="E576" s="24"/>
      <c r="F576" s="24"/>
      <c r="G576" s="29"/>
      <c r="H576" s="24"/>
    </row>
    <row r="577" spans="2:8" x14ac:dyDescent="0.25">
      <c r="B577" s="21" t="str" cm="1">
        <f t="array" aca="1" ref="B5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7" s="22" t="str" cm="1">
        <f t="array" aca="1" ref="C5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A577, "'!C:C")),"NOK"))&gt;0, "NOK", "Pending....")),"")</f>
        <v/>
      </c>
      <c r="D577" s="24"/>
      <c r="E577" s="24"/>
      <c r="F577" s="24"/>
      <c r="G577" s="29"/>
      <c r="H577" s="24"/>
    </row>
    <row r="578" spans="2:8" x14ac:dyDescent="0.25">
      <c r="B578" s="21" t="str" cm="1">
        <f t="array" aca="1" ref="B5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8" s="22" t="str" cm="1">
        <f t="array" aca="1" ref="C5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A578, "'!C:C")),"NOK"))&gt;0, "NOK", "Pending....")),"")</f>
        <v/>
      </c>
      <c r="D578" s="24"/>
      <c r="E578" s="24"/>
      <c r="F578" s="24"/>
      <c r="G578" s="29"/>
      <c r="H578" s="24"/>
    </row>
    <row r="579" spans="2:8" x14ac:dyDescent="0.25">
      <c r="B579" s="21" t="str" cm="1">
        <f t="array" aca="1" ref="B5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79" s="22" t="str" cm="1">
        <f t="array" aca="1" ref="C5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A579, "'!C:C")),"NOK"))&gt;0, "NOK", "Pending....")),"")</f>
        <v/>
      </c>
      <c r="D579" s="24"/>
      <c r="E579" s="24"/>
      <c r="F579" s="24"/>
      <c r="G579" s="29"/>
      <c r="H579" s="24"/>
    </row>
    <row r="580" spans="2:8" x14ac:dyDescent="0.25">
      <c r="B580" s="21" t="str" cm="1">
        <f t="array" aca="1" ref="B5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0" s="22" t="str" cm="1">
        <f t="array" aca="1" ref="C5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A580, "'!C:C")),"NOK"))&gt;0, "NOK", "Pending....")),"")</f>
        <v/>
      </c>
      <c r="D580" s="24"/>
      <c r="E580" s="24"/>
      <c r="F580" s="24"/>
      <c r="G580" s="29"/>
      <c r="H580" s="24"/>
    </row>
    <row r="581" spans="2:8" x14ac:dyDescent="0.25">
      <c r="B581" s="21" t="str" cm="1">
        <f t="array" aca="1" ref="B5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1" s="22" t="str" cm="1">
        <f t="array" aca="1" ref="C5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A581, "'!C:C")),"NOK"))&gt;0, "NOK", "Pending....")),"")</f>
        <v/>
      </c>
      <c r="D581" s="24"/>
      <c r="E581" s="24"/>
      <c r="F581" s="24"/>
      <c r="G581" s="29"/>
      <c r="H581" s="24"/>
    </row>
    <row r="582" spans="2:8" x14ac:dyDescent="0.25">
      <c r="B582" s="21" t="str" cm="1">
        <f t="array" aca="1" ref="B5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2" s="22" t="str" cm="1">
        <f t="array" aca="1" ref="C5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A582, "'!C:C")),"NOK"))&gt;0, "NOK", "Pending....")),"")</f>
        <v/>
      </c>
      <c r="D582" s="24"/>
      <c r="E582" s="24"/>
      <c r="F582" s="24"/>
      <c r="G582" s="29"/>
      <c r="H582" s="24"/>
    </row>
    <row r="583" spans="2:8" x14ac:dyDescent="0.25">
      <c r="B583" s="21" t="str" cm="1">
        <f t="array" aca="1" ref="B5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3" s="22" t="str" cm="1">
        <f t="array" aca="1" ref="C5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A583, "'!C:C")),"NOK"))&gt;0, "NOK", "Pending....")),"")</f>
        <v/>
      </c>
      <c r="D583" s="24"/>
      <c r="E583" s="24"/>
      <c r="F583" s="24"/>
      <c r="G583" s="29"/>
      <c r="H583" s="24"/>
    </row>
    <row r="584" spans="2:8" x14ac:dyDescent="0.25">
      <c r="B584" s="21" t="str" cm="1">
        <f t="array" aca="1" ref="B5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4" s="22" t="str" cm="1">
        <f t="array" aca="1" ref="C5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A584, "'!C:C")),"NOK"))&gt;0, "NOK", "Pending....")),"")</f>
        <v/>
      </c>
      <c r="D584" s="24"/>
      <c r="E584" s="24"/>
      <c r="F584" s="24"/>
      <c r="G584" s="29"/>
      <c r="H584" s="24"/>
    </row>
    <row r="585" spans="2:8" x14ac:dyDescent="0.25">
      <c r="B585" s="21" t="str" cm="1">
        <f t="array" aca="1" ref="B5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5" s="22" t="str" cm="1">
        <f t="array" aca="1" ref="C5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A585, "'!C:C")),"NOK"))&gt;0, "NOK", "Pending....")),"")</f>
        <v/>
      </c>
      <c r="D585" s="24"/>
      <c r="E585" s="24"/>
      <c r="F585" s="24"/>
      <c r="G585" s="29"/>
      <c r="H585" s="24"/>
    </row>
    <row r="586" spans="2:8" x14ac:dyDescent="0.25">
      <c r="B586" s="21" t="str" cm="1">
        <f t="array" aca="1" ref="B5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6" s="22" t="str" cm="1">
        <f t="array" aca="1" ref="C5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A586, "'!C:C")),"NOK"))&gt;0, "NOK", "Pending....")),"")</f>
        <v/>
      </c>
      <c r="D586" s="24"/>
      <c r="E586" s="24"/>
      <c r="F586" s="24"/>
      <c r="G586" s="29"/>
      <c r="H586" s="24"/>
    </row>
    <row r="587" spans="2:8" x14ac:dyDescent="0.25">
      <c r="B587" s="21" t="str" cm="1">
        <f t="array" aca="1" ref="B5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7" s="22" t="str" cm="1">
        <f t="array" aca="1" ref="C5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A587, "'!C:C")),"NOK"))&gt;0, "NOK", "Pending....")),"")</f>
        <v/>
      </c>
      <c r="D587" s="24"/>
      <c r="E587" s="24"/>
      <c r="F587" s="24"/>
      <c r="G587" s="29"/>
      <c r="H587" s="24"/>
    </row>
    <row r="588" spans="2:8" x14ac:dyDescent="0.25">
      <c r="B588" s="21" t="str" cm="1">
        <f t="array" aca="1" ref="B5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8" s="22" t="str" cm="1">
        <f t="array" aca="1" ref="C5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A588, "'!C:C")),"NOK"))&gt;0, "NOK", "Pending....")),"")</f>
        <v/>
      </c>
      <c r="D588" s="24"/>
      <c r="E588" s="24"/>
      <c r="F588" s="24"/>
      <c r="G588" s="29"/>
      <c r="H588" s="24"/>
    </row>
    <row r="589" spans="2:8" x14ac:dyDescent="0.25">
      <c r="B589" s="21" t="str" cm="1">
        <f t="array" aca="1" ref="B5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89" s="22" t="str" cm="1">
        <f t="array" aca="1" ref="C5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A589, "'!C:C")),"NOK"))&gt;0, "NOK", "Pending....")),"")</f>
        <v/>
      </c>
      <c r="D589" s="24"/>
      <c r="E589" s="24"/>
      <c r="F589" s="24"/>
      <c r="G589" s="29"/>
      <c r="H589" s="24"/>
    </row>
    <row r="590" spans="2:8" x14ac:dyDescent="0.25">
      <c r="B590" s="21" t="str" cm="1">
        <f t="array" aca="1" ref="B5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0" s="22" t="str" cm="1">
        <f t="array" aca="1" ref="C5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A590, "'!C:C")),"NOK"))&gt;0, "NOK", "Pending....")),"")</f>
        <v/>
      </c>
      <c r="D590" s="24"/>
      <c r="E590" s="24"/>
      <c r="F590" s="24"/>
      <c r="G590" s="29"/>
      <c r="H590" s="24"/>
    </row>
    <row r="591" spans="2:8" x14ac:dyDescent="0.25">
      <c r="B591" s="21" t="str" cm="1">
        <f t="array" aca="1" ref="B5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1" s="22" t="str" cm="1">
        <f t="array" aca="1" ref="C5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A591, "'!C:C")),"NOK"))&gt;0, "NOK", "Pending....")),"")</f>
        <v/>
      </c>
      <c r="D591" s="24"/>
      <c r="E591" s="24"/>
      <c r="F591" s="24"/>
      <c r="G591" s="29"/>
      <c r="H591" s="24"/>
    </row>
    <row r="592" spans="2:8" x14ac:dyDescent="0.25">
      <c r="B592" s="21" t="str" cm="1">
        <f t="array" aca="1" ref="B5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2" s="22" t="str" cm="1">
        <f t="array" aca="1" ref="C5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A592, "'!C:C")),"NOK"))&gt;0, "NOK", "Pending....")),"")</f>
        <v/>
      </c>
      <c r="D592" s="24"/>
      <c r="E592" s="24"/>
      <c r="F592" s="24"/>
      <c r="G592" s="29"/>
      <c r="H592" s="24"/>
    </row>
    <row r="593" spans="2:8" x14ac:dyDescent="0.25">
      <c r="B593" s="21" t="str" cm="1">
        <f t="array" aca="1" ref="B5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3" s="22" t="str" cm="1">
        <f t="array" aca="1" ref="C5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A593, "'!C:C")),"NOK"))&gt;0, "NOK", "Pending....")),"")</f>
        <v/>
      </c>
      <c r="D593" s="24"/>
      <c r="E593" s="24"/>
      <c r="F593" s="24"/>
      <c r="G593" s="29"/>
      <c r="H593" s="24"/>
    </row>
    <row r="594" spans="2:8" x14ac:dyDescent="0.25">
      <c r="B594" s="21" t="str" cm="1">
        <f t="array" aca="1" ref="B5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4" s="22" t="str" cm="1">
        <f t="array" aca="1" ref="C5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A594, "'!C:C")),"NOK"))&gt;0, "NOK", "Pending....")),"")</f>
        <v/>
      </c>
      <c r="D594" s="24"/>
      <c r="E594" s="24"/>
      <c r="F594" s="24"/>
      <c r="G594" s="29"/>
      <c r="H594" s="24"/>
    </row>
    <row r="595" spans="2:8" x14ac:dyDescent="0.25">
      <c r="B595" s="21" t="str" cm="1">
        <f t="array" aca="1" ref="B5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5" s="22" t="str" cm="1">
        <f t="array" aca="1" ref="C5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A595, "'!C:C")),"NOK"))&gt;0, "NOK", "Pending....")),"")</f>
        <v/>
      </c>
      <c r="D595" s="24"/>
      <c r="E595" s="24"/>
      <c r="F595" s="24"/>
      <c r="G595" s="29"/>
      <c r="H595" s="24"/>
    </row>
    <row r="596" spans="2:8" x14ac:dyDescent="0.25">
      <c r="B596" s="21" t="str" cm="1">
        <f t="array" aca="1" ref="B5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6" s="22" t="str" cm="1">
        <f t="array" aca="1" ref="C5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A596, "'!C:C")),"NOK"))&gt;0, "NOK", "Pending....")),"")</f>
        <v/>
      </c>
      <c r="D596" s="24"/>
      <c r="E596" s="24"/>
      <c r="F596" s="24"/>
      <c r="G596" s="29"/>
      <c r="H596" s="24"/>
    </row>
    <row r="597" spans="2:8" x14ac:dyDescent="0.25">
      <c r="B597" s="21" t="str" cm="1">
        <f t="array" aca="1" ref="B5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7" s="22" t="str" cm="1">
        <f t="array" aca="1" ref="C5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A597, "'!C:C")),"NOK"))&gt;0, "NOK", "Pending....")),"")</f>
        <v/>
      </c>
      <c r="D597" s="24"/>
      <c r="E597" s="24"/>
      <c r="F597" s="24"/>
      <c r="G597" s="29"/>
      <c r="H597" s="24"/>
    </row>
    <row r="598" spans="2:8" x14ac:dyDescent="0.25">
      <c r="B598" s="21" t="str" cm="1">
        <f t="array" aca="1" ref="B5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8" s="22" t="str" cm="1">
        <f t="array" aca="1" ref="C5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A598, "'!C:C")),"NOK"))&gt;0, "NOK", "Pending....")),"")</f>
        <v/>
      </c>
      <c r="D598" s="24"/>
      <c r="E598" s="24"/>
      <c r="F598" s="24"/>
      <c r="G598" s="29"/>
      <c r="H598" s="24"/>
    </row>
    <row r="599" spans="2:8" x14ac:dyDescent="0.25">
      <c r="B599" s="21" t="str" cm="1">
        <f t="array" aca="1" ref="B5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599" s="22" t="str" cm="1">
        <f t="array" aca="1" ref="C5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A599, "'!C:C")),"NOK"))&gt;0, "NOK", "Pending....")),"")</f>
        <v/>
      </c>
      <c r="D599" s="24"/>
      <c r="E599" s="24"/>
      <c r="F599" s="24"/>
      <c r="G599" s="29"/>
      <c r="H599" s="24"/>
    </row>
    <row r="600" spans="2:8" x14ac:dyDescent="0.25">
      <c r="B600" s="21" t="str" cm="1">
        <f t="array" aca="1" ref="B6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0" s="22" t="str" cm="1">
        <f t="array" aca="1" ref="C6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A600, "'!C:C")),"NOK"))&gt;0, "NOK", "Pending....")),"")</f>
        <v/>
      </c>
      <c r="D600" s="24"/>
      <c r="E600" s="24"/>
      <c r="F600" s="24"/>
      <c r="G600" s="29"/>
      <c r="H600" s="24"/>
    </row>
    <row r="601" spans="2:8" x14ac:dyDescent="0.25">
      <c r="B601" s="21" t="str" cm="1">
        <f t="array" aca="1" ref="B6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1" s="22" t="str" cm="1">
        <f t="array" aca="1" ref="C6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A601, "'!C:C")),"NOK"))&gt;0, "NOK", "Pending....")),"")</f>
        <v/>
      </c>
      <c r="D601" s="24"/>
      <c r="E601" s="24"/>
      <c r="F601" s="24"/>
      <c r="G601" s="29"/>
      <c r="H601" s="24"/>
    </row>
    <row r="602" spans="2:8" x14ac:dyDescent="0.25">
      <c r="B602" s="21" t="str" cm="1">
        <f t="array" aca="1" ref="B6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2" s="22" t="str" cm="1">
        <f t="array" aca="1" ref="C6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A602, "'!C:C")),"NOK"))&gt;0, "NOK", "Pending....")),"")</f>
        <v/>
      </c>
      <c r="D602" s="24"/>
      <c r="E602" s="24"/>
      <c r="F602" s="24"/>
      <c r="G602" s="29"/>
      <c r="H602" s="24"/>
    </row>
    <row r="603" spans="2:8" x14ac:dyDescent="0.25">
      <c r="B603" s="21" t="str" cm="1">
        <f t="array" aca="1" ref="B6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3" s="22" t="str" cm="1">
        <f t="array" aca="1" ref="C6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A603, "'!C:C")),"NOK"))&gt;0, "NOK", "Pending....")),"")</f>
        <v/>
      </c>
      <c r="D603" s="24"/>
      <c r="E603" s="24"/>
      <c r="F603" s="24"/>
      <c r="G603" s="29"/>
      <c r="H603" s="24"/>
    </row>
    <row r="604" spans="2:8" x14ac:dyDescent="0.25">
      <c r="B604" s="21" t="str" cm="1">
        <f t="array" aca="1" ref="B6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4" s="22" t="str" cm="1">
        <f t="array" aca="1" ref="C6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A604, "'!C:C")),"NOK"))&gt;0, "NOK", "Pending....")),"")</f>
        <v/>
      </c>
      <c r="D604" s="24"/>
      <c r="E604" s="24"/>
      <c r="F604" s="24"/>
      <c r="G604" s="29"/>
      <c r="H604" s="24"/>
    </row>
    <row r="605" spans="2:8" x14ac:dyDescent="0.25">
      <c r="B605" s="21" t="str" cm="1">
        <f t="array" aca="1" ref="B6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5" s="22" t="str" cm="1">
        <f t="array" aca="1" ref="C6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A605, "'!C:C")),"NOK"))&gt;0, "NOK", "Pending....")),"")</f>
        <v/>
      </c>
      <c r="D605" s="24"/>
      <c r="E605" s="24"/>
      <c r="F605" s="24"/>
      <c r="G605" s="29"/>
      <c r="H605" s="24"/>
    </row>
    <row r="606" spans="2:8" x14ac:dyDescent="0.25">
      <c r="B606" s="21" t="str" cm="1">
        <f t="array" aca="1" ref="B6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6" s="22" t="str" cm="1">
        <f t="array" aca="1" ref="C6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A606, "'!C:C")),"NOK"))&gt;0, "NOK", "Pending....")),"")</f>
        <v/>
      </c>
      <c r="D606" s="24"/>
      <c r="E606" s="24"/>
      <c r="F606" s="24"/>
      <c r="G606" s="29"/>
      <c r="H606" s="24"/>
    </row>
    <row r="607" spans="2:8" x14ac:dyDescent="0.25">
      <c r="B607" s="21" t="str" cm="1">
        <f t="array" aca="1" ref="B6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7" s="22" t="str" cm="1">
        <f t="array" aca="1" ref="C6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A607, "'!C:C")),"NOK"))&gt;0, "NOK", "Pending....")),"")</f>
        <v/>
      </c>
      <c r="D607" s="24"/>
      <c r="E607" s="24"/>
      <c r="F607" s="24"/>
      <c r="G607" s="29"/>
      <c r="H607" s="24"/>
    </row>
    <row r="608" spans="2:8" x14ac:dyDescent="0.25">
      <c r="B608" s="21" t="str" cm="1">
        <f t="array" aca="1" ref="B6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8" s="22" t="str" cm="1">
        <f t="array" aca="1" ref="C6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A608, "'!C:C")),"NOK"))&gt;0, "NOK", "Pending....")),"")</f>
        <v/>
      </c>
      <c r="D608" s="24"/>
      <c r="E608" s="24"/>
      <c r="F608" s="24"/>
      <c r="G608" s="29"/>
      <c r="H608" s="24"/>
    </row>
    <row r="609" spans="2:8" x14ac:dyDescent="0.25">
      <c r="B609" s="21" t="str" cm="1">
        <f t="array" aca="1" ref="B6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09" s="22" t="str" cm="1">
        <f t="array" aca="1" ref="C6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A609, "'!C:C")),"NOK"))&gt;0, "NOK", "Pending....")),"")</f>
        <v/>
      </c>
      <c r="D609" s="24"/>
      <c r="E609" s="24"/>
      <c r="F609" s="24"/>
      <c r="G609" s="29"/>
      <c r="H609" s="24"/>
    </row>
    <row r="610" spans="2:8" x14ac:dyDescent="0.25">
      <c r="B610" s="21" t="str" cm="1">
        <f t="array" aca="1" ref="B6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0" s="22" t="str" cm="1">
        <f t="array" aca="1" ref="C6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A610, "'!C:C")),"NOK"))&gt;0, "NOK", "Pending....")),"")</f>
        <v/>
      </c>
      <c r="D610" s="24"/>
      <c r="E610" s="24"/>
      <c r="F610" s="24"/>
      <c r="G610" s="29"/>
      <c r="H610" s="24"/>
    </row>
    <row r="611" spans="2:8" x14ac:dyDescent="0.25">
      <c r="B611" s="21" t="str" cm="1">
        <f t="array" aca="1" ref="B6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1" s="22" t="str" cm="1">
        <f t="array" aca="1" ref="C6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A611, "'!C:C")),"NOK"))&gt;0, "NOK", "Pending....")),"")</f>
        <v/>
      </c>
      <c r="D611" s="24"/>
      <c r="E611" s="24"/>
      <c r="F611" s="24"/>
      <c r="G611" s="29"/>
      <c r="H611" s="24"/>
    </row>
    <row r="612" spans="2:8" x14ac:dyDescent="0.25">
      <c r="B612" s="21" t="str" cm="1">
        <f t="array" aca="1" ref="B6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2" s="22" t="str" cm="1">
        <f t="array" aca="1" ref="C6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A612, "'!C:C")),"NOK"))&gt;0, "NOK", "Pending....")),"")</f>
        <v/>
      </c>
      <c r="D612" s="24"/>
      <c r="E612" s="24"/>
      <c r="F612" s="24"/>
      <c r="G612" s="29"/>
      <c r="H612" s="24"/>
    </row>
    <row r="613" spans="2:8" x14ac:dyDescent="0.25">
      <c r="B613" s="21" t="str" cm="1">
        <f t="array" aca="1" ref="B6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3" s="22" t="str" cm="1">
        <f t="array" aca="1" ref="C6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A613, "'!C:C")),"NOK"))&gt;0, "NOK", "Pending....")),"")</f>
        <v/>
      </c>
      <c r="D613" s="24"/>
      <c r="E613" s="24"/>
      <c r="F613" s="24"/>
      <c r="G613" s="29"/>
      <c r="H613" s="24"/>
    </row>
    <row r="614" spans="2:8" x14ac:dyDescent="0.25">
      <c r="B614" s="21" t="str" cm="1">
        <f t="array" aca="1" ref="B6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4" s="22" t="str" cm="1">
        <f t="array" aca="1" ref="C6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A614, "'!C:C")),"NOK"))&gt;0, "NOK", "Pending....")),"")</f>
        <v/>
      </c>
      <c r="D614" s="24"/>
      <c r="E614" s="24"/>
      <c r="F614" s="24"/>
      <c r="G614" s="29"/>
      <c r="H614" s="24"/>
    </row>
    <row r="615" spans="2:8" x14ac:dyDescent="0.25">
      <c r="B615" s="21" t="str" cm="1">
        <f t="array" aca="1" ref="B6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5" s="22" t="str" cm="1">
        <f t="array" aca="1" ref="C6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A615, "'!C:C")),"NOK"))&gt;0, "NOK", "Pending....")),"")</f>
        <v/>
      </c>
      <c r="D615" s="24"/>
      <c r="E615" s="24"/>
      <c r="F615" s="24"/>
      <c r="G615" s="29"/>
      <c r="H615" s="24"/>
    </row>
    <row r="616" spans="2:8" x14ac:dyDescent="0.25">
      <c r="B616" s="21" t="str" cm="1">
        <f t="array" aca="1" ref="B6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6" s="22" t="str" cm="1">
        <f t="array" aca="1" ref="C6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A616, "'!C:C")),"NOK"))&gt;0, "NOK", "Pending....")),"")</f>
        <v/>
      </c>
      <c r="D616" s="24"/>
      <c r="E616" s="24"/>
      <c r="F616" s="24"/>
      <c r="G616" s="29"/>
      <c r="H616" s="24"/>
    </row>
    <row r="617" spans="2:8" x14ac:dyDescent="0.25">
      <c r="B617" s="21" t="str" cm="1">
        <f t="array" aca="1" ref="B6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7" s="22" t="str" cm="1">
        <f t="array" aca="1" ref="C6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A617, "'!C:C")),"NOK"))&gt;0, "NOK", "Pending....")),"")</f>
        <v/>
      </c>
      <c r="D617" s="24"/>
      <c r="E617" s="24"/>
      <c r="F617" s="24"/>
      <c r="G617" s="29"/>
      <c r="H617" s="24"/>
    </row>
    <row r="618" spans="2:8" x14ac:dyDescent="0.25">
      <c r="B618" s="21" t="str" cm="1">
        <f t="array" aca="1" ref="B6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8" s="22" t="str" cm="1">
        <f t="array" aca="1" ref="C6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A618, "'!C:C")),"NOK"))&gt;0, "NOK", "Pending....")),"")</f>
        <v/>
      </c>
      <c r="D618" s="24"/>
      <c r="E618" s="24"/>
      <c r="F618" s="24"/>
      <c r="G618" s="29"/>
      <c r="H618" s="24"/>
    </row>
    <row r="619" spans="2:8" x14ac:dyDescent="0.25">
      <c r="B619" s="21" t="str" cm="1">
        <f t="array" aca="1" ref="B6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19" s="22" t="str" cm="1">
        <f t="array" aca="1" ref="C6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A619, "'!C:C")),"NOK"))&gt;0, "NOK", "Pending....")),"")</f>
        <v/>
      </c>
      <c r="D619" s="24"/>
      <c r="E619" s="24"/>
      <c r="F619" s="24"/>
      <c r="G619" s="29"/>
      <c r="H619" s="24"/>
    </row>
    <row r="620" spans="2:8" x14ac:dyDescent="0.25">
      <c r="B620" s="21" t="str" cm="1">
        <f t="array" aca="1" ref="B6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0" s="22" t="str" cm="1">
        <f t="array" aca="1" ref="C6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A620, "'!C:C")),"NOK"))&gt;0, "NOK", "Pending....")),"")</f>
        <v/>
      </c>
      <c r="D620" s="24"/>
      <c r="E620" s="24"/>
      <c r="F620" s="24"/>
      <c r="G620" s="29"/>
      <c r="H620" s="24"/>
    </row>
    <row r="621" spans="2:8" x14ac:dyDescent="0.25">
      <c r="B621" s="21" t="str" cm="1">
        <f t="array" aca="1" ref="B6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1" s="22" t="str" cm="1">
        <f t="array" aca="1" ref="C6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A621, "'!C:C")),"NOK"))&gt;0, "NOK", "Pending....")),"")</f>
        <v/>
      </c>
      <c r="D621" s="24"/>
      <c r="E621" s="24"/>
      <c r="F621" s="24"/>
      <c r="G621" s="29"/>
      <c r="H621" s="24"/>
    </row>
    <row r="622" spans="2:8" x14ac:dyDescent="0.25">
      <c r="B622" s="21" t="str" cm="1">
        <f t="array" aca="1" ref="B6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2" s="22" t="str" cm="1">
        <f t="array" aca="1" ref="C6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A622, "'!C:C")),"NOK"))&gt;0, "NOK", "Pending....")),"")</f>
        <v/>
      </c>
      <c r="D622" s="24"/>
      <c r="E622" s="24"/>
      <c r="F622" s="24"/>
      <c r="G622" s="29"/>
      <c r="H622" s="24"/>
    </row>
    <row r="623" spans="2:8" x14ac:dyDescent="0.25">
      <c r="B623" s="21" t="str" cm="1">
        <f t="array" aca="1" ref="B6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3" s="22" t="str" cm="1">
        <f t="array" aca="1" ref="C6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A623, "'!C:C")),"NOK"))&gt;0, "NOK", "Pending....")),"")</f>
        <v/>
      </c>
      <c r="D623" s="24"/>
      <c r="E623" s="24"/>
      <c r="F623" s="24"/>
      <c r="G623" s="29"/>
      <c r="H623" s="24"/>
    </row>
    <row r="624" spans="2:8" x14ac:dyDescent="0.25">
      <c r="B624" s="21" t="str" cm="1">
        <f t="array" aca="1" ref="B6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4" s="22" t="str" cm="1">
        <f t="array" aca="1" ref="C6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A624, "'!C:C")),"NOK"))&gt;0, "NOK", "Pending....")),"")</f>
        <v/>
      </c>
      <c r="D624" s="24"/>
      <c r="E624" s="24"/>
      <c r="F624" s="24"/>
      <c r="G624" s="29"/>
      <c r="H624" s="24"/>
    </row>
    <row r="625" spans="2:8" x14ac:dyDescent="0.25">
      <c r="B625" s="21" t="str" cm="1">
        <f t="array" aca="1" ref="B6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5" s="22" t="str" cm="1">
        <f t="array" aca="1" ref="C6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A625, "'!C:C")),"NOK"))&gt;0, "NOK", "Pending....")),"")</f>
        <v/>
      </c>
      <c r="D625" s="24"/>
      <c r="E625" s="24"/>
      <c r="F625" s="24"/>
      <c r="G625" s="29"/>
      <c r="H625" s="24"/>
    </row>
    <row r="626" spans="2:8" x14ac:dyDescent="0.25">
      <c r="B626" s="21" t="str" cm="1">
        <f t="array" aca="1" ref="B6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6" s="22" t="str" cm="1">
        <f t="array" aca="1" ref="C6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A626, "'!C:C")),"NOK"))&gt;0, "NOK", "Pending....")),"")</f>
        <v/>
      </c>
      <c r="D626" s="24"/>
      <c r="E626" s="24"/>
      <c r="F626" s="24"/>
      <c r="G626" s="29"/>
      <c r="H626" s="24"/>
    </row>
    <row r="627" spans="2:8" x14ac:dyDescent="0.25">
      <c r="B627" s="21" t="str" cm="1">
        <f t="array" aca="1" ref="B6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7" s="22" t="str" cm="1">
        <f t="array" aca="1" ref="C6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A627, "'!C:C")),"NOK"))&gt;0, "NOK", "Pending....")),"")</f>
        <v/>
      </c>
      <c r="D627" s="24"/>
      <c r="E627" s="24"/>
      <c r="F627" s="24"/>
      <c r="G627" s="29"/>
      <c r="H627" s="24"/>
    </row>
    <row r="628" spans="2:8" x14ac:dyDescent="0.25">
      <c r="B628" s="21" t="str" cm="1">
        <f t="array" aca="1" ref="B6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8" s="22" t="str" cm="1">
        <f t="array" aca="1" ref="C6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A628, "'!C:C")),"NOK"))&gt;0, "NOK", "Pending....")),"")</f>
        <v/>
      </c>
      <c r="D628" s="24"/>
      <c r="E628" s="24"/>
      <c r="F628" s="24"/>
      <c r="G628" s="29"/>
      <c r="H628" s="24"/>
    </row>
    <row r="629" spans="2:8" x14ac:dyDescent="0.25">
      <c r="B629" s="21" t="str" cm="1">
        <f t="array" aca="1" ref="B6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29" s="22" t="str" cm="1">
        <f t="array" aca="1" ref="C6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A629, "'!C:C")),"NOK"))&gt;0, "NOK", "Pending....")),"")</f>
        <v/>
      </c>
      <c r="D629" s="24"/>
      <c r="E629" s="24"/>
      <c r="F629" s="24"/>
      <c r="G629" s="29"/>
      <c r="H629" s="24"/>
    </row>
    <row r="630" spans="2:8" x14ac:dyDescent="0.25">
      <c r="B630" s="21" t="str" cm="1">
        <f t="array" aca="1" ref="B6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0" s="22" t="str" cm="1">
        <f t="array" aca="1" ref="C6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A630, "'!C:C")),"NOK"))&gt;0, "NOK", "Pending....")),"")</f>
        <v/>
      </c>
      <c r="D630" s="24"/>
      <c r="E630" s="24"/>
      <c r="F630" s="24"/>
      <c r="G630" s="29"/>
      <c r="H630" s="24"/>
    </row>
    <row r="631" spans="2:8" x14ac:dyDescent="0.25">
      <c r="B631" s="21" t="str" cm="1">
        <f t="array" aca="1" ref="B6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1" s="22" t="str" cm="1">
        <f t="array" aca="1" ref="C6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A631, "'!C:C")),"NOK"))&gt;0, "NOK", "Pending....")),"")</f>
        <v/>
      </c>
      <c r="D631" s="24"/>
      <c r="E631" s="24"/>
      <c r="F631" s="24"/>
      <c r="G631" s="29"/>
      <c r="H631" s="24"/>
    </row>
    <row r="632" spans="2:8" x14ac:dyDescent="0.25">
      <c r="B632" s="21" t="str" cm="1">
        <f t="array" aca="1" ref="B6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2" s="22" t="str" cm="1">
        <f t="array" aca="1" ref="C6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A632, "'!C:C")),"NOK"))&gt;0, "NOK", "Pending....")),"")</f>
        <v/>
      </c>
      <c r="D632" s="24"/>
      <c r="E632" s="24"/>
      <c r="F632" s="24"/>
      <c r="G632" s="29"/>
      <c r="H632" s="24"/>
    </row>
    <row r="633" spans="2:8" x14ac:dyDescent="0.25">
      <c r="B633" s="21" t="str" cm="1">
        <f t="array" aca="1" ref="B6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3" s="22" t="str" cm="1">
        <f t="array" aca="1" ref="C6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A633, "'!C:C")),"NOK"))&gt;0, "NOK", "Pending....")),"")</f>
        <v/>
      </c>
      <c r="D633" s="24"/>
      <c r="E633" s="24"/>
      <c r="F633" s="24"/>
      <c r="G633" s="29"/>
      <c r="H633" s="24"/>
    </row>
    <row r="634" spans="2:8" x14ac:dyDescent="0.25">
      <c r="B634" s="21" t="str" cm="1">
        <f t="array" aca="1" ref="B6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4" s="22" t="str" cm="1">
        <f t="array" aca="1" ref="C6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A634, "'!C:C")),"NOK"))&gt;0, "NOK", "Pending....")),"")</f>
        <v/>
      </c>
      <c r="D634" s="24"/>
      <c r="E634" s="24"/>
      <c r="F634" s="24"/>
      <c r="G634" s="29"/>
      <c r="H634" s="24"/>
    </row>
    <row r="635" spans="2:8" x14ac:dyDescent="0.25">
      <c r="B635" s="21" t="str" cm="1">
        <f t="array" aca="1" ref="B6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5" s="22" t="str" cm="1">
        <f t="array" aca="1" ref="C6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A635, "'!C:C")),"NOK"))&gt;0, "NOK", "Pending....")),"")</f>
        <v/>
      </c>
      <c r="D635" s="24"/>
      <c r="E635" s="24"/>
      <c r="F635" s="24"/>
      <c r="G635" s="29"/>
      <c r="H635" s="24"/>
    </row>
    <row r="636" spans="2:8" x14ac:dyDescent="0.25">
      <c r="B636" s="21" t="str" cm="1">
        <f t="array" aca="1" ref="B6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6" s="22" t="str" cm="1">
        <f t="array" aca="1" ref="C6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A636, "'!C:C")),"NOK"))&gt;0, "NOK", "Pending....")),"")</f>
        <v/>
      </c>
      <c r="D636" s="24"/>
      <c r="E636" s="24"/>
      <c r="F636" s="24"/>
      <c r="G636" s="29"/>
      <c r="H636" s="24"/>
    </row>
    <row r="637" spans="2:8" x14ac:dyDescent="0.25">
      <c r="B637" s="21" t="str" cm="1">
        <f t="array" aca="1" ref="B6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7" s="22" t="str" cm="1">
        <f t="array" aca="1" ref="C6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A637, "'!C:C")),"NOK"))&gt;0, "NOK", "Pending....")),"")</f>
        <v/>
      </c>
      <c r="D637" s="24"/>
      <c r="E637" s="24"/>
      <c r="F637" s="24"/>
      <c r="G637" s="29"/>
      <c r="H637" s="24"/>
    </row>
    <row r="638" spans="2:8" x14ac:dyDescent="0.25">
      <c r="B638" s="21" t="str" cm="1">
        <f t="array" aca="1" ref="B6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8" s="22" t="str" cm="1">
        <f t="array" aca="1" ref="C6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A638, "'!C:C")),"NOK"))&gt;0, "NOK", "Pending....")),"")</f>
        <v/>
      </c>
      <c r="D638" s="24"/>
      <c r="E638" s="24"/>
      <c r="F638" s="24"/>
      <c r="G638" s="29"/>
      <c r="H638" s="24"/>
    </row>
    <row r="639" spans="2:8" x14ac:dyDescent="0.25">
      <c r="B639" s="21" t="str" cm="1">
        <f t="array" aca="1" ref="B6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39" s="22" t="str" cm="1">
        <f t="array" aca="1" ref="C6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A639, "'!C:C")),"NOK"))&gt;0, "NOK", "Pending....")),"")</f>
        <v/>
      </c>
      <c r="D639" s="24"/>
      <c r="E639" s="24"/>
      <c r="F639" s="24"/>
      <c r="G639" s="29"/>
      <c r="H639" s="24"/>
    </row>
    <row r="640" spans="2:8" x14ac:dyDescent="0.25">
      <c r="B640" s="21" t="str" cm="1">
        <f t="array" aca="1" ref="B6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0" s="22" t="str" cm="1">
        <f t="array" aca="1" ref="C6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A640, "'!C:C")),"NOK"))&gt;0, "NOK", "Pending....")),"")</f>
        <v/>
      </c>
      <c r="D640" s="24"/>
      <c r="E640" s="24"/>
      <c r="F640" s="24"/>
      <c r="G640" s="29"/>
      <c r="H640" s="24"/>
    </row>
    <row r="641" spans="2:8" x14ac:dyDescent="0.25">
      <c r="B641" s="21" t="str" cm="1">
        <f t="array" aca="1" ref="B6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1" s="22" t="str" cm="1">
        <f t="array" aca="1" ref="C6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A641, "'!C:C")),"NOK"))&gt;0, "NOK", "Pending....")),"")</f>
        <v/>
      </c>
      <c r="D641" s="24"/>
      <c r="E641" s="24"/>
      <c r="F641" s="24"/>
      <c r="G641" s="29"/>
      <c r="H641" s="24"/>
    </row>
    <row r="642" spans="2:8" x14ac:dyDescent="0.25">
      <c r="B642" s="21" t="str" cm="1">
        <f t="array" aca="1" ref="B6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2" s="22" t="str" cm="1">
        <f t="array" aca="1" ref="C6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A642, "'!C:C")),"NOK"))&gt;0, "NOK", "Pending....")),"")</f>
        <v/>
      </c>
      <c r="D642" s="24"/>
      <c r="E642" s="24"/>
      <c r="F642" s="24"/>
      <c r="G642" s="29"/>
      <c r="H642" s="24"/>
    </row>
    <row r="643" spans="2:8" x14ac:dyDescent="0.25">
      <c r="B643" s="21" t="str" cm="1">
        <f t="array" aca="1" ref="B6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3" s="22" t="str" cm="1">
        <f t="array" aca="1" ref="C6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A643, "'!C:C")),"NOK"))&gt;0, "NOK", "Pending....")),"")</f>
        <v/>
      </c>
      <c r="D643" s="24"/>
      <c r="E643" s="24"/>
      <c r="F643" s="24"/>
      <c r="G643" s="29"/>
      <c r="H643" s="24"/>
    </row>
    <row r="644" spans="2:8" x14ac:dyDescent="0.25">
      <c r="B644" s="21" t="str" cm="1">
        <f t="array" aca="1" ref="B6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4" s="22" t="str" cm="1">
        <f t="array" aca="1" ref="C6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A644, "'!C:C")),"NOK"))&gt;0, "NOK", "Pending....")),"")</f>
        <v/>
      </c>
      <c r="D644" s="24"/>
      <c r="E644" s="24"/>
      <c r="F644" s="24"/>
      <c r="G644" s="29"/>
      <c r="H644" s="24"/>
    </row>
    <row r="645" spans="2:8" x14ac:dyDescent="0.25">
      <c r="B645" s="21" t="str" cm="1">
        <f t="array" aca="1" ref="B6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5" s="22" t="str" cm="1">
        <f t="array" aca="1" ref="C6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A645, "'!C:C")),"NOK"))&gt;0, "NOK", "Pending....")),"")</f>
        <v/>
      </c>
      <c r="D645" s="24"/>
      <c r="E645" s="24"/>
      <c r="F645" s="24"/>
      <c r="G645" s="29"/>
      <c r="H645" s="24"/>
    </row>
    <row r="646" spans="2:8" x14ac:dyDescent="0.25">
      <c r="B646" s="21" t="str" cm="1">
        <f t="array" aca="1" ref="B6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6" s="22" t="str" cm="1">
        <f t="array" aca="1" ref="C6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A646, "'!C:C")),"NOK"))&gt;0, "NOK", "Pending....")),"")</f>
        <v/>
      </c>
      <c r="D646" s="24"/>
      <c r="E646" s="24"/>
      <c r="F646" s="24"/>
      <c r="G646" s="29"/>
      <c r="H646" s="24"/>
    </row>
    <row r="647" spans="2:8" x14ac:dyDescent="0.25">
      <c r="B647" s="21" t="str" cm="1">
        <f t="array" aca="1" ref="B6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7" s="22" t="str" cm="1">
        <f t="array" aca="1" ref="C6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A647, "'!C:C")),"NOK"))&gt;0, "NOK", "Pending....")),"")</f>
        <v/>
      </c>
      <c r="D647" s="24"/>
      <c r="E647" s="24"/>
      <c r="F647" s="24"/>
      <c r="G647" s="29"/>
      <c r="H647" s="24"/>
    </row>
    <row r="648" spans="2:8" x14ac:dyDescent="0.25">
      <c r="B648" s="21" t="str" cm="1">
        <f t="array" aca="1" ref="B6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8" s="22" t="str" cm="1">
        <f t="array" aca="1" ref="C6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A648, "'!C:C")),"NOK"))&gt;0, "NOK", "Pending....")),"")</f>
        <v/>
      </c>
      <c r="D648" s="24"/>
      <c r="E648" s="24"/>
      <c r="F648" s="24"/>
      <c r="G648" s="29"/>
      <c r="H648" s="24"/>
    </row>
    <row r="649" spans="2:8" x14ac:dyDescent="0.25">
      <c r="B649" s="21" t="str" cm="1">
        <f t="array" aca="1" ref="B6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49" s="22" t="str" cm="1">
        <f t="array" aca="1" ref="C6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A649, "'!C:C")),"NOK"))&gt;0, "NOK", "Pending....")),"")</f>
        <v/>
      </c>
      <c r="D649" s="24"/>
      <c r="E649" s="24"/>
      <c r="F649" s="24"/>
      <c r="G649" s="29"/>
      <c r="H649" s="24"/>
    </row>
    <row r="650" spans="2:8" x14ac:dyDescent="0.25">
      <c r="B650" s="21" t="str" cm="1">
        <f t="array" aca="1" ref="B6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0" s="22" t="str" cm="1">
        <f t="array" aca="1" ref="C6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A650, "'!C:C")),"NOK"))&gt;0, "NOK", "Pending....")),"")</f>
        <v/>
      </c>
      <c r="D650" s="24"/>
      <c r="E650" s="24"/>
      <c r="F650" s="24"/>
      <c r="G650" s="29"/>
      <c r="H650" s="24"/>
    </row>
    <row r="651" spans="2:8" x14ac:dyDescent="0.25">
      <c r="B651" s="21" t="str" cm="1">
        <f t="array" aca="1" ref="B6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1" s="22" t="str" cm="1">
        <f t="array" aca="1" ref="C6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A651, "'!C:C")),"NOK"))&gt;0, "NOK", "Pending....")),"")</f>
        <v/>
      </c>
      <c r="D651" s="24"/>
      <c r="E651" s="24"/>
      <c r="F651" s="24"/>
      <c r="G651" s="29"/>
      <c r="H651" s="24"/>
    </row>
    <row r="652" spans="2:8" x14ac:dyDescent="0.25">
      <c r="B652" s="21" t="str" cm="1">
        <f t="array" aca="1" ref="B6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2" s="22" t="str" cm="1">
        <f t="array" aca="1" ref="C6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A652, "'!C:C")),"NOK"))&gt;0, "NOK", "Pending....")),"")</f>
        <v/>
      </c>
      <c r="D652" s="24"/>
      <c r="E652" s="24"/>
      <c r="F652" s="24"/>
      <c r="G652" s="29"/>
      <c r="H652" s="24"/>
    </row>
    <row r="653" spans="2:8" x14ac:dyDescent="0.25">
      <c r="B653" s="21" t="str" cm="1">
        <f t="array" aca="1" ref="B6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3" s="22" t="str" cm="1">
        <f t="array" aca="1" ref="C6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A653, "'!C:C")),"NOK"))&gt;0, "NOK", "Pending....")),"")</f>
        <v/>
      </c>
      <c r="D653" s="24"/>
      <c r="E653" s="24"/>
      <c r="F653" s="24"/>
      <c r="G653" s="29"/>
      <c r="H653" s="24"/>
    </row>
    <row r="654" spans="2:8" x14ac:dyDescent="0.25">
      <c r="B654" s="21" t="str" cm="1">
        <f t="array" aca="1" ref="B6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4" s="22" t="str" cm="1">
        <f t="array" aca="1" ref="C6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A654, "'!C:C")),"NOK"))&gt;0, "NOK", "Pending....")),"")</f>
        <v/>
      </c>
      <c r="D654" s="24"/>
      <c r="E654" s="24"/>
      <c r="F654" s="24"/>
      <c r="G654" s="29"/>
      <c r="H654" s="24"/>
    </row>
    <row r="655" spans="2:8" x14ac:dyDescent="0.25">
      <c r="B655" s="21" t="str" cm="1">
        <f t="array" aca="1" ref="B6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5" s="22" t="str" cm="1">
        <f t="array" aca="1" ref="C6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A655, "'!C:C")),"NOK"))&gt;0, "NOK", "Pending....")),"")</f>
        <v/>
      </c>
      <c r="D655" s="24"/>
      <c r="E655" s="24"/>
      <c r="F655" s="24"/>
      <c r="G655" s="29"/>
      <c r="H655" s="24"/>
    </row>
    <row r="656" spans="2:8" x14ac:dyDescent="0.25">
      <c r="B656" s="21" t="str" cm="1">
        <f t="array" aca="1" ref="B6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6" s="22" t="str" cm="1">
        <f t="array" aca="1" ref="C6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A656, "'!C:C")),"NOK"))&gt;0, "NOK", "Pending....")),"")</f>
        <v/>
      </c>
      <c r="D656" s="24"/>
      <c r="E656" s="24"/>
      <c r="F656" s="24"/>
      <c r="G656" s="29"/>
      <c r="H656" s="24"/>
    </row>
    <row r="657" spans="2:8" x14ac:dyDescent="0.25">
      <c r="B657" s="21" t="str" cm="1">
        <f t="array" aca="1" ref="B6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7" s="22" t="str" cm="1">
        <f t="array" aca="1" ref="C6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A657, "'!C:C")),"NOK"))&gt;0, "NOK", "Pending....")),"")</f>
        <v/>
      </c>
      <c r="D657" s="24"/>
      <c r="E657" s="24"/>
      <c r="F657" s="24"/>
      <c r="G657" s="29"/>
      <c r="H657" s="24"/>
    </row>
    <row r="658" spans="2:8" x14ac:dyDescent="0.25">
      <c r="B658" s="21" t="str" cm="1">
        <f t="array" aca="1" ref="B6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8" s="22" t="str" cm="1">
        <f t="array" aca="1" ref="C6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A658, "'!C:C")),"NOK"))&gt;0, "NOK", "Pending....")),"")</f>
        <v/>
      </c>
      <c r="D658" s="24"/>
      <c r="E658" s="24"/>
      <c r="F658" s="24"/>
      <c r="G658" s="29"/>
      <c r="H658" s="24"/>
    </row>
    <row r="659" spans="2:8" x14ac:dyDescent="0.25">
      <c r="B659" s="21" t="str" cm="1">
        <f t="array" aca="1" ref="B6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59" s="22" t="str" cm="1">
        <f t="array" aca="1" ref="C6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A659, "'!C:C")),"NOK"))&gt;0, "NOK", "Pending....")),"")</f>
        <v/>
      </c>
      <c r="D659" s="24"/>
      <c r="E659" s="24"/>
      <c r="F659" s="24"/>
      <c r="G659" s="29"/>
      <c r="H659" s="24"/>
    </row>
    <row r="660" spans="2:8" x14ac:dyDescent="0.25">
      <c r="B660" s="21" t="str" cm="1">
        <f t="array" aca="1" ref="B6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0" s="22" t="str" cm="1">
        <f t="array" aca="1" ref="C6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A660, "'!C:C")),"NOK"))&gt;0, "NOK", "Pending....")),"")</f>
        <v/>
      </c>
      <c r="D660" s="24"/>
      <c r="E660" s="24"/>
      <c r="F660" s="24"/>
      <c r="G660" s="29"/>
      <c r="H660" s="24"/>
    </row>
    <row r="661" spans="2:8" x14ac:dyDescent="0.25">
      <c r="B661" s="21" t="str" cm="1">
        <f t="array" aca="1" ref="B6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1" s="22" t="str" cm="1">
        <f t="array" aca="1" ref="C6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A661, "'!C:C")),"NOK"))&gt;0, "NOK", "Pending....")),"")</f>
        <v/>
      </c>
      <c r="D661" s="24"/>
      <c r="E661" s="24"/>
      <c r="F661" s="24"/>
      <c r="G661" s="29"/>
      <c r="H661" s="24"/>
    </row>
    <row r="662" spans="2:8" x14ac:dyDescent="0.25">
      <c r="B662" s="21" t="str" cm="1">
        <f t="array" aca="1" ref="B6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2" s="22" t="str" cm="1">
        <f t="array" aca="1" ref="C6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A662, "'!C:C")),"NOK"))&gt;0, "NOK", "Pending....")),"")</f>
        <v/>
      </c>
      <c r="D662" s="24"/>
      <c r="E662" s="24"/>
      <c r="F662" s="24"/>
      <c r="G662" s="29"/>
      <c r="H662" s="24"/>
    </row>
    <row r="663" spans="2:8" x14ac:dyDescent="0.25">
      <c r="B663" s="21" t="str" cm="1">
        <f t="array" aca="1" ref="B6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3" s="22" t="str" cm="1">
        <f t="array" aca="1" ref="C6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A663, "'!C:C")),"NOK"))&gt;0, "NOK", "Pending....")),"")</f>
        <v/>
      </c>
      <c r="D663" s="24"/>
      <c r="E663" s="24"/>
      <c r="F663" s="24"/>
      <c r="G663" s="29"/>
      <c r="H663" s="24"/>
    </row>
    <row r="664" spans="2:8" x14ac:dyDescent="0.25">
      <c r="B664" s="21" t="str" cm="1">
        <f t="array" aca="1" ref="B6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4" s="22" t="str" cm="1">
        <f t="array" aca="1" ref="C6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A664, "'!C:C")),"NOK"))&gt;0, "NOK", "Pending....")),"")</f>
        <v/>
      </c>
      <c r="D664" s="24"/>
      <c r="E664" s="24"/>
      <c r="F664" s="24"/>
      <c r="G664" s="29"/>
      <c r="H664" s="24"/>
    </row>
    <row r="665" spans="2:8" x14ac:dyDescent="0.25">
      <c r="B665" s="21" t="str" cm="1">
        <f t="array" aca="1" ref="B6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5" s="22" t="str" cm="1">
        <f t="array" aca="1" ref="C6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A665, "'!C:C")),"NOK"))&gt;0, "NOK", "Pending....")),"")</f>
        <v/>
      </c>
      <c r="D665" s="24"/>
      <c r="E665" s="24"/>
      <c r="F665" s="24"/>
      <c r="G665" s="29"/>
      <c r="H665" s="24"/>
    </row>
    <row r="666" spans="2:8" x14ac:dyDescent="0.25">
      <c r="B666" s="21" t="str" cm="1">
        <f t="array" aca="1" ref="B6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6" s="22" t="str" cm="1">
        <f t="array" aca="1" ref="C6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A666, "'!C:C")),"NOK"))&gt;0, "NOK", "Pending....")),"")</f>
        <v/>
      </c>
      <c r="D666" s="24"/>
      <c r="E666" s="24"/>
      <c r="F666" s="24"/>
      <c r="G666" s="29"/>
      <c r="H666" s="24"/>
    </row>
    <row r="667" spans="2:8" x14ac:dyDescent="0.25">
      <c r="B667" s="21" t="str" cm="1">
        <f t="array" aca="1" ref="B6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7" s="22" t="str" cm="1">
        <f t="array" aca="1" ref="C6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A667, "'!C:C")),"NOK"))&gt;0, "NOK", "Pending....")),"")</f>
        <v/>
      </c>
      <c r="D667" s="24"/>
      <c r="E667" s="24"/>
      <c r="F667" s="24"/>
      <c r="G667" s="29"/>
      <c r="H667" s="24"/>
    </row>
    <row r="668" spans="2:8" x14ac:dyDescent="0.25">
      <c r="B668" s="21" t="str" cm="1">
        <f t="array" aca="1" ref="B6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8" s="22" t="str" cm="1">
        <f t="array" aca="1" ref="C6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A668, "'!C:C")),"NOK"))&gt;0, "NOK", "Pending....")),"")</f>
        <v/>
      </c>
      <c r="D668" s="24"/>
      <c r="E668" s="24"/>
      <c r="F668" s="24"/>
      <c r="G668" s="29"/>
      <c r="H668" s="24"/>
    </row>
    <row r="669" spans="2:8" x14ac:dyDescent="0.25">
      <c r="B669" s="21" t="str" cm="1">
        <f t="array" aca="1" ref="B6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69" s="22" t="str" cm="1">
        <f t="array" aca="1" ref="C6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A669, "'!C:C")),"NOK"))&gt;0, "NOK", "Pending....")),"")</f>
        <v/>
      </c>
      <c r="D669" s="24"/>
      <c r="E669" s="24"/>
      <c r="F669" s="24"/>
      <c r="G669" s="29"/>
      <c r="H669" s="24"/>
    </row>
    <row r="670" spans="2:8" x14ac:dyDescent="0.25">
      <c r="B670" s="21" t="str" cm="1">
        <f t="array" aca="1" ref="B6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0" s="22" t="str" cm="1">
        <f t="array" aca="1" ref="C6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A670, "'!C:C")),"NOK"))&gt;0, "NOK", "Pending....")),"")</f>
        <v/>
      </c>
      <c r="D670" s="24"/>
      <c r="E670" s="24"/>
      <c r="F670" s="24"/>
      <c r="G670" s="29"/>
      <c r="H670" s="24"/>
    </row>
    <row r="671" spans="2:8" x14ac:dyDescent="0.25">
      <c r="B671" s="21" t="str" cm="1">
        <f t="array" aca="1" ref="B6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1" s="22" t="str" cm="1">
        <f t="array" aca="1" ref="C6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A671, "'!C:C")),"NOK"))&gt;0, "NOK", "Pending....")),"")</f>
        <v/>
      </c>
      <c r="D671" s="24"/>
      <c r="E671" s="24"/>
      <c r="F671" s="24"/>
      <c r="G671" s="29"/>
      <c r="H671" s="24"/>
    </row>
    <row r="672" spans="2:8" x14ac:dyDescent="0.25">
      <c r="B672" s="21" t="str" cm="1">
        <f t="array" aca="1" ref="B6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2" s="22" t="str" cm="1">
        <f t="array" aca="1" ref="C6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A672, "'!C:C")),"NOK"))&gt;0, "NOK", "Pending....")),"")</f>
        <v/>
      </c>
      <c r="D672" s="24"/>
      <c r="E672" s="24"/>
      <c r="F672" s="24"/>
      <c r="G672" s="29"/>
      <c r="H672" s="24"/>
    </row>
    <row r="673" spans="2:8" x14ac:dyDescent="0.25">
      <c r="B673" s="21" t="str" cm="1">
        <f t="array" aca="1" ref="B6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3" s="22" t="str" cm="1">
        <f t="array" aca="1" ref="C6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A673, "'!C:C")),"NOK"))&gt;0, "NOK", "Pending....")),"")</f>
        <v/>
      </c>
      <c r="D673" s="24"/>
      <c r="E673" s="24"/>
      <c r="F673" s="24"/>
      <c r="G673" s="29"/>
      <c r="H673" s="24"/>
    </row>
    <row r="674" spans="2:8" x14ac:dyDescent="0.25">
      <c r="B674" s="21" t="str" cm="1">
        <f t="array" aca="1" ref="B6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4" s="22" t="str" cm="1">
        <f t="array" aca="1" ref="C6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A674, "'!C:C")),"NOK"))&gt;0, "NOK", "Pending....")),"")</f>
        <v/>
      </c>
      <c r="D674" s="24"/>
      <c r="E674" s="24"/>
      <c r="F674" s="24"/>
      <c r="G674" s="29"/>
      <c r="H674" s="24"/>
    </row>
    <row r="675" spans="2:8" x14ac:dyDescent="0.25">
      <c r="B675" s="21" t="str" cm="1">
        <f t="array" aca="1" ref="B6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5" s="22" t="str" cm="1">
        <f t="array" aca="1" ref="C6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A675, "'!C:C")),"NOK"))&gt;0, "NOK", "Pending....")),"")</f>
        <v/>
      </c>
      <c r="D675" s="24"/>
      <c r="E675" s="24"/>
      <c r="F675" s="24"/>
      <c r="G675" s="29"/>
      <c r="H675" s="24"/>
    </row>
    <row r="676" spans="2:8" x14ac:dyDescent="0.25">
      <c r="B676" s="21" t="str" cm="1">
        <f t="array" aca="1" ref="B6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6" s="22" t="str" cm="1">
        <f t="array" aca="1" ref="C6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A676, "'!C:C")),"NOK"))&gt;0, "NOK", "Pending....")),"")</f>
        <v/>
      </c>
      <c r="D676" s="24"/>
      <c r="E676" s="24"/>
      <c r="F676" s="24"/>
      <c r="G676" s="29"/>
      <c r="H676" s="24"/>
    </row>
    <row r="677" spans="2:8" x14ac:dyDescent="0.25">
      <c r="B677" s="21" t="str" cm="1">
        <f t="array" aca="1" ref="B6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7" s="22" t="str" cm="1">
        <f t="array" aca="1" ref="C6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A677, "'!C:C")),"NOK"))&gt;0, "NOK", "Pending....")),"")</f>
        <v/>
      </c>
      <c r="D677" s="24"/>
      <c r="E677" s="24"/>
      <c r="F677" s="24"/>
      <c r="G677" s="29"/>
      <c r="H677" s="24"/>
    </row>
    <row r="678" spans="2:8" x14ac:dyDescent="0.25">
      <c r="B678" s="21" t="str" cm="1">
        <f t="array" aca="1" ref="B6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8" s="22" t="str" cm="1">
        <f t="array" aca="1" ref="C6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A678, "'!C:C")),"NOK"))&gt;0, "NOK", "Pending....")),"")</f>
        <v/>
      </c>
      <c r="D678" s="24"/>
      <c r="E678" s="24"/>
      <c r="F678" s="24"/>
      <c r="G678" s="29"/>
      <c r="H678" s="24"/>
    </row>
    <row r="679" spans="2:8" x14ac:dyDescent="0.25">
      <c r="B679" s="21" t="str" cm="1">
        <f t="array" aca="1" ref="B6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79" s="22" t="str" cm="1">
        <f t="array" aca="1" ref="C6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A679, "'!C:C")),"NOK"))&gt;0, "NOK", "Pending....")),"")</f>
        <v/>
      </c>
      <c r="D679" s="24"/>
      <c r="E679" s="24"/>
      <c r="F679" s="24"/>
      <c r="G679" s="29"/>
      <c r="H679" s="24"/>
    </row>
    <row r="680" spans="2:8" x14ac:dyDescent="0.25">
      <c r="B680" s="21" t="str" cm="1">
        <f t="array" aca="1" ref="B6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0" s="22" t="str" cm="1">
        <f t="array" aca="1" ref="C6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A680, "'!C:C")),"NOK"))&gt;0, "NOK", "Pending....")),"")</f>
        <v/>
      </c>
      <c r="D680" s="24"/>
      <c r="E680" s="24"/>
      <c r="F680" s="24"/>
      <c r="G680" s="29"/>
      <c r="H680" s="24"/>
    </row>
    <row r="681" spans="2:8" x14ac:dyDescent="0.25">
      <c r="B681" s="21" t="str" cm="1">
        <f t="array" aca="1" ref="B6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1" s="22" t="str" cm="1">
        <f t="array" aca="1" ref="C6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A681, "'!C:C")),"NOK"))&gt;0, "NOK", "Pending....")),"")</f>
        <v/>
      </c>
      <c r="D681" s="24"/>
      <c r="E681" s="24"/>
      <c r="F681" s="24"/>
      <c r="G681" s="29"/>
      <c r="H681" s="24"/>
    </row>
    <row r="682" spans="2:8" x14ac:dyDescent="0.25">
      <c r="B682" s="21" t="str" cm="1">
        <f t="array" aca="1" ref="B6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2" s="22" t="str" cm="1">
        <f t="array" aca="1" ref="C6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A682, "'!C:C")),"NOK"))&gt;0, "NOK", "Pending....")),"")</f>
        <v/>
      </c>
      <c r="D682" s="24"/>
      <c r="E682" s="24"/>
      <c r="F682" s="24"/>
      <c r="G682" s="29"/>
      <c r="H682" s="24"/>
    </row>
    <row r="683" spans="2:8" x14ac:dyDescent="0.25">
      <c r="B683" s="21" t="str" cm="1">
        <f t="array" aca="1" ref="B6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3" s="22" t="str" cm="1">
        <f t="array" aca="1" ref="C6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A683, "'!C:C")),"NOK"))&gt;0, "NOK", "Pending....")),"")</f>
        <v/>
      </c>
      <c r="D683" s="24"/>
      <c r="E683" s="24"/>
      <c r="F683" s="24"/>
      <c r="G683" s="29"/>
      <c r="H683" s="24"/>
    </row>
    <row r="684" spans="2:8" x14ac:dyDescent="0.25">
      <c r="B684" s="21" t="str" cm="1">
        <f t="array" aca="1" ref="B6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4" s="22" t="str" cm="1">
        <f t="array" aca="1" ref="C6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A684, "'!C:C")),"NOK"))&gt;0, "NOK", "Pending....")),"")</f>
        <v/>
      </c>
      <c r="D684" s="24"/>
      <c r="E684" s="24"/>
      <c r="F684" s="24"/>
      <c r="G684" s="29"/>
      <c r="H684" s="24"/>
    </row>
    <row r="685" spans="2:8" x14ac:dyDescent="0.25">
      <c r="B685" s="21" t="str" cm="1">
        <f t="array" aca="1" ref="B6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5" s="22" t="str" cm="1">
        <f t="array" aca="1" ref="C6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A685, "'!C:C")),"NOK"))&gt;0, "NOK", "Pending....")),"")</f>
        <v/>
      </c>
      <c r="D685" s="24"/>
      <c r="E685" s="24"/>
      <c r="F685" s="24"/>
      <c r="G685" s="29"/>
      <c r="H685" s="24"/>
    </row>
    <row r="686" spans="2:8" x14ac:dyDescent="0.25">
      <c r="B686" s="21" t="str" cm="1">
        <f t="array" aca="1" ref="B6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6" s="22" t="str" cm="1">
        <f t="array" aca="1" ref="C6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A686, "'!C:C")),"NOK"))&gt;0, "NOK", "Pending....")),"")</f>
        <v/>
      </c>
      <c r="D686" s="24"/>
      <c r="E686" s="24"/>
      <c r="F686" s="24"/>
      <c r="G686" s="29"/>
      <c r="H686" s="24"/>
    </row>
    <row r="687" spans="2:8" x14ac:dyDescent="0.25">
      <c r="B687" s="21" t="str" cm="1">
        <f t="array" aca="1" ref="B6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7" s="22" t="str" cm="1">
        <f t="array" aca="1" ref="C6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A687, "'!C:C")),"NOK"))&gt;0, "NOK", "Pending....")),"")</f>
        <v/>
      </c>
      <c r="D687" s="24"/>
      <c r="E687" s="24"/>
      <c r="F687" s="24"/>
      <c r="G687" s="29"/>
      <c r="H687" s="24"/>
    </row>
    <row r="688" spans="2:8" x14ac:dyDescent="0.25">
      <c r="B688" s="21" t="str" cm="1">
        <f t="array" aca="1" ref="B6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8" s="22" t="str" cm="1">
        <f t="array" aca="1" ref="C6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A688, "'!C:C")),"NOK"))&gt;0, "NOK", "Pending....")),"")</f>
        <v/>
      </c>
      <c r="D688" s="24"/>
      <c r="E688" s="24"/>
      <c r="F688" s="24"/>
      <c r="G688" s="29"/>
      <c r="H688" s="24"/>
    </row>
    <row r="689" spans="2:8" x14ac:dyDescent="0.25">
      <c r="B689" s="21" t="str" cm="1">
        <f t="array" aca="1" ref="B6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89" s="22" t="str" cm="1">
        <f t="array" aca="1" ref="C6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A689, "'!C:C")),"NOK"))&gt;0, "NOK", "Pending....")),"")</f>
        <v/>
      </c>
      <c r="D689" s="24"/>
      <c r="E689" s="24"/>
      <c r="F689" s="24"/>
      <c r="G689" s="29"/>
      <c r="H689" s="24"/>
    </row>
    <row r="690" spans="2:8" x14ac:dyDescent="0.25">
      <c r="B690" s="21" t="str" cm="1">
        <f t="array" aca="1" ref="B6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0" s="22" t="str" cm="1">
        <f t="array" aca="1" ref="C6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A690, "'!C:C")),"NOK"))&gt;0, "NOK", "Pending....")),"")</f>
        <v/>
      </c>
      <c r="D690" s="24"/>
      <c r="E690" s="24"/>
      <c r="F690" s="24"/>
      <c r="G690" s="29"/>
      <c r="H690" s="24"/>
    </row>
    <row r="691" spans="2:8" x14ac:dyDescent="0.25">
      <c r="B691" s="21" t="str" cm="1">
        <f t="array" aca="1" ref="B6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1" s="22" t="str" cm="1">
        <f t="array" aca="1" ref="C6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A691, "'!C:C")),"NOK"))&gt;0, "NOK", "Pending....")),"")</f>
        <v/>
      </c>
      <c r="D691" s="24"/>
      <c r="E691" s="24"/>
      <c r="F691" s="24"/>
      <c r="G691" s="29"/>
      <c r="H691" s="24"/>
    </row>
    <row r="692" spans="2:8" x14ac:dyDescent="0.25">
      <c r="B692" s="21" t="str" cm="1">
        <f t="array" aca="1" ref="B6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2" s="22" t="str" cm="1">
        <f t="array" aca="1" ref="C6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A692, "'!C:C")),"NOK"))&gt;0, "NOK", "Pending....")),"")</f>
        <v/>
      </c>
      <c r="D692" s="24"/>
      <c r="E692" s="24"/>
      <c r="F692" s="24"/>
      <c r="G692" s="29"/>
      <c r="H692" s="24"/>
    </row>
    <row r="693" spans="2:8" x14ac:dyDescent="0.25">
      <c r="B693" s="21" t="str" cm="1">
        <f t="array" aca="1" ref="B6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3" s="22" t="str" cm="1">
        <f t="array" aca="1" ref="C6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A693, "'!C:C")),"NOK"))&gt;0, "NOK", "Pending....")),"")</f>
        <v/>
      </c>
      <c r="D693" s="24"/>
      <c r="E693" s="24"/>
      <c r="F693" s="24"/>
      <c r="G693" s="29"/>
      <c r="H693" s="24"/>
    </row>
    <row r="694" spans="2:8" x14ac:dyDescent="0.25">
      <c r="B694" s="21" t="str" cm="1">
        <f t="array" aca="1" ref="B6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4" s="22" t="str" cm="1">
        <f t="array" aca="1" ref="C6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A694, "'!C:C")),"NOK"))&gt;0, "NOK", "Pending....")),"")</f>
        <v/>
      </c>
      <c r="D694" s="24"/>
      <c r="E694" s="24"/>
      <c r="F694" s="24"/>
      <c r="G694" s="29"/>
      <c r="H694" s="24"/>
    </row>
    <row r="695" spans="2:8" x14ac:dyDescent="0.25">
      <c r="B695" s="21" t="str" cm="1">
        <f t="array" aca="1" ref="B6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5" s="22" t="str" cm="1">
        <f t="array" aca="1" ref="C6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A695, "'!C:C")),"NOK"))&gt;0, "NOK", "Pending....")),"")</f>
        <v/>
      </c>
      <c r="D695" s="24"/>
      <c r="E695" s="24"/>
      <c r="F695" s="24"/>
      <c r="G695" s="29"/>
      <c r="H695" s="24"/>
    </row>
    <row r="696" spans="2:8" x14ac:dyDescent="0.25">
      <c r="B696" s="21" t="str" cm="1">
        <f t="array" aca="1" ref="B6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6" s="22" t="str" cm="1">
        <f t="array" aca="1" ref="C6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A696, "'!C:C")),"NOK"))&gt;0, "NOK", "Pending....")),"")</f>
        <v/>
      </c>
      <c r="D696" s="24"/>
      <c r="E696" s="24"/>
      <c r="F696" s="24"/>
      <c r="G696" s="29"/>
      <c r="H696" s="24"/>
    </row>
    <row r="697" spans="2:8" x14ac:dyDescent="0.25">
      <c r="B697" s="21" t="str" cm="1">
        <f t="array" aca="1" ref="B6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7" s="22" t="str" cm="1">
        <f t="array" aca="1" ref="C6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A697, "'!C:C")),"NOK"))&gt;0, "NOK", "Pending....")),"")</f>
        <v/>
      </c>
      <c r="D697" s="24"/>
      <c r="E697" s="24"/>
      <c r="F697" s="24"/>
      <c r="G697" s="29"/>
      <c r="H697" s="24"/>
    </row>
    <row r="698" spans="2:8" x14ac:dyDescent="0.25">
      <c r="B698" s="21" t="str" cm="1">
        <f t="array" aca="1" ref="B6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8" s="22" t="str" cm="1">
        <f t="array" aca="1" ref="C6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A698, "'!C:C")),"NOK"))&gt;0, "NOK", "Pending....")),"")</f>
        <v/>
      </c>
      <c r="D698" s="24"/>
      <c r="E698" s="24"/>
      <c r="F698" s="24"/>
      <c r="G698" s="29"/>
      <c r="H698" s="24"/>
    </row>
    <row r="699" spans="2:8" x14ac:dyDescent="0.25">
      <c r="B699" s="21" t="str" cm="1">
        <f t="array" aca="1" ref="B6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699" s="22" t="str" cm="1">
        <f t="array" aca="1" ref="C6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A699, "'!C:C")),"NOK"))&gt;0, "NOK", "Pending....")),"")</f>
        <v/>
      </c>
      <c r="D699" s="24"/>
      <c r="E699" s="24"/>
      <c r="F699" s="24"/>
      <c r="G699" s="29"/>
      <c r="H699" s="24"/>
    </row>
    <row r="700" spans="2:8" x14ac:dyDescent="0.25">
      <c r="B700" s="21" t="str" cm="1">
        <f t="array" aca="1" ref="B7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0" s="22" t="str" cm="1">
        <f t="array" aca="1" ref="C7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A700, "'!C:C")),"NOK"))&gt;0, "NOK", "Pending....")),"")</f>
        <v/>
      </c>
      <c r="D700" s="24"/>
      <c r="E700" s="24"/>
      <c r="F700" s="24"/>
      <c r="G700" s="29"/>
      <c r="H700" s="24"/>
    </row>
    <row r="701" spans="2:8" x14ac:dyDescent="0.25">
      <c r="B701" s="21" t="str" cm="1">
        <f t="array" aca="1" ref="B7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1" s="22" t="str" cm="1">
        <f t="array" aca="1" ref="C7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A701, "'!C:C")),"NOK"))&gt;0, "NOK", "Pending....")),"")</f>
        <v/>
      </c>
      <c r="D701" s="24"/>
      <c r="E701" s="24"/>
      <c r="F701" s="24"/>
      <c r="G701" s="29"/>
      <c r="H701" s="24"/>
    </row>
    <row r="702" spans="2:8" x14ac:dyDescent="0.25">
      <c r="B702" s="21" t="str" cm="1">
        <f t="array" aca="1" ref="B7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2" s="22" t="str" cm="1">
        <f t="array" aca="1" ref="C7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A702, "'!C:C")),"NOK"))&gt;0, "NOK", "Pending....")),"")</f>
        <v/>
      </c>
      <c r="D702" s="24"/>
      <c r="E702" s="24"/>
      <c r="F702" s="24"/>
      <c r="G702" s="29"/>
      <c r="H702" s="24"/>
    </row>
    <row r="703" spans="2:8" x14ac:dyDescent="0.25">
      <c r="B703" s="21" t="str" cm="1">
        <f t="array" aca="1" ref="B7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3" s="22" t="str" cm="1">
        <f t="array" aca="1" ref="C7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A703, "'!C:C")),"NOK"))&gt;0, "NOK", "Pending....")),"")</f>
        <v/>
      </c>
      <c r="D703" s="24"/>
      <c r="E703" s="24"/>
      <c r="F703" s="24"/>
      <c r="G703" s="29"/>
      <c r="H703" s="24"/>
    </row>
    <row r="704" spans="2:8" x14ac:dyDescent="0.25">
      <c r="B704" s="21" t="str" cm="1">
        <f t="array" aca="1" ref="B7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4" s="22" t="str" cm="1">
        <f t="array" aca="1" ref="C7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A704, "'!C:C")),"NOK"))&gt;0, "NOK", "Pending....")),"")</f>
        <v/>
      </c>
      <c r="D704" s="24"/>
      <c r="E704" s="24"/>
      <c r="F704" s="24"/>
      <c r="G704" s="29"/>
      <c r="H704" s="24"/>
    </row>
    <row r="705" spans="2:8" x14ac:dyDescent="0.25">
      <c r="B705" s="21" t="str" cm="1">
        <f t="array" aca="1" ref="B7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5" s="22" t="str" cm="1">
        <f t="array" aca="1" ref="C7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A705, "'!C:C")),"NOK"))&gt;0, "NOK", "Pending....")),"")</f>
        <v/>
      </c>
      <c r="D705" s="24"/>
      <c r="E705" s="24"/>
      <c r="F705" s="24"/>
      <c r="G705" s="29"/>
      <c r="H705" s="24"/>
    </row>
    <row r="706" spans="2:8" x14ac:dyDescent="0.25">
      <c r="B706" s="21" t="str" cm="1">
        <f t="array" aca="1" ref="B7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6" s="22" t="str" cm="1">
        <f t="array" aca="1" ref="C7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A706, "'!C:C")),"NOK"))&gt;0, "NOK", "Pending....")),"")</f>
        <v/>
      </c>
      <c r="D706" s="24"/>
      <c r="E706" s="24"/>
      <c r="F706" s="24"/>
      <c r="G706" s="29"/>
      <c r="H706" s="24"/>
    </row>
    <row r="707" spans="2:8" x14ac:dyDescent="0.25">
      <c r="B707" s="21" t="str" cm="1">
        <f t="array" aca="1" ref="B7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7" s="22" t="str" cm="1">
        <f t="array" aca="1" ref="C7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A707, "'!C:C")),"NOK"))&gt;0, "NOK", "Pending....")),"")</f>
        <v/>
      </c>
      <c r="D707" s="24"/>
      <c r="E707" s="24"/>
      <c r="F707" s="24"/>
      <c r="G707" s="29"/>
      <c r="H707" s="24"/>
    </row>
    <row r="708" spans="2:8" x14ac:dyDescent="0.25">
      <c r="B708" s="21" t="str" cm="1">
        <f t="array" aca="1" ref="B7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8" s="22" t="str" cm="1">
        <f t="array" aca="1" ref="C7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A708, "'!C:C")),"NOK"))&gt;0, "NOK", "Pending....")),"")</f>
        <v/>
      </c>
      <c r="D708" s="24"/>
      <c r="E708" s="24"/>
      <c r="F708" s="24"/>
      <c r="G708" s="29"/>
      <c r="H708" s="24"/>
    </row>
    <row r="709" spans="2:8" x14ac:dyDescent="0.25">
      <c r="B709" s="21" t="str" cm="1">
        <f t="array" aca="1" ref="B7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09" s="22" t="str" cm="1">
        <f t="array" aca="1" ref="C7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A709, "'!C:C")),"NOK"))&gt;0, "NOK", "Pending....")),"")</f>
        <v/>
      </c>
      <c r="D709" s="24"/>
      <c r="E709" s="24"/>
      <c r="F709" s="24"/>
      <c r="G709" s="29"/>
      <c r="H709" s="24"/>
    </row>
    <row r="710" spans="2:8" x14ac:dyDescent="0.25">
      <c r="B710" s="21" t="str" cm="1">
        <f t="array" aca="1" ref="B7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0" s="22" t="str" cm="1">
        <f t="array" aca="1" ref="C7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A710, "'!C:C")),"NOK"))&gt;0, "NOK", "Pending....")),"")</f>
        <v/>
      </c>
      <c r="D710" s="24"/>
      <c r="E710" s="24"/>
      <c r="F710" s="24"/>
      <c r="G710" s="29"/>
      <c r="H710" s="24"/>
    </row>
    <row r="711" spans="2:8" x14ac:dyDescent="0.25">
      <c r="B711" s="21" t="str" cm="1">
        <f t="array" aca="1" ref="B7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1" s="22" t="str" cm="1">
        <f t="array" aca="1" ref="C7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A711, "'!C:C")),"NOK"))&gt;0, "NOK", "Pending....")),"")</f>
        <v/>
      </c>
      <c r="D711" s="24"/>
      <c r="E711" s="24"/>
      <c r="F711" s="24"/>
      <c r="G711" s="29"/>
      <c r="H711" s="24"/>
    </row>
    <row r="712" spans="2:8" x14ac:dyDescent="0.25">
      <c r="B712" s="21" t="str" cm="1">
        <f t="array" aca="1" ref="B7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2" s="22" t="str" cm="1">
        <f t="array" aca="1" ref="C7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A712, "'!C:C")),"NOK"))&gt;0, "NOK", "Pending....")),"")</f>
        <v/>
      </c>
      <c r="D712" s="24"/>
      <c r="E712" s="24"/>
      <c r="F712" s="24"/>
      <c r="G712" s="29"/>
      <c r="H712" s="24"/>
    </row>
    <row r="713" spans="2:8" x14ac:dyDescent="0.25">
      <c r="B713" s="21" t="str" cm="1">
        <f t="array" aca="1" ref="B7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3" s="22" t="str" cm="1">
        <f t="array" aca="1" ref="C7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A713, "'!C:C")),"NOK"))&gt;0, "NOK", "Pending....")),"")</f>
        <v/>
      </c>
      <c r="D713" s="24"/>
      <c r="E713" s="24"/>
      <c r="F713" s="24"/>
      <c r="G713" s="29"/>
      <c r="H713" s="24"/>
    </row>
    <row r="714" spans="2:8" x14ac:dyDescent="0.25">
      <c r="B714" s="21" t="str" cm="1">
        <f t="array" aca="1" ref="B7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4" s="22" t="str" cm="1">
        <f t="array" aca="1" ref="C7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A714, "'!C:C")),"NOK"))&gt;0, "NOK", "Pending....")),"")</f>
        <v/>
      </c>
      <c r="D714" s="24"/>
      <c r="E714" s="24"/>
      <c r="F714" s="24"/>
      <c r="G714" s="29"/>
      <c r="H714" s="24"/>
    </row>
    <row r="715" spans="2:8" x14ac:dyDescent="0.25">
      <c r="B715" s="21" t="str" cm="1">
        <f t="array" aca="1" ref="B7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5" s="22" t="str" cm="1">
        <f t="array" aca="1" ref="C7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A715, "'!C:C")),"NOK"))&gt;0, "NOK", "Pending....")),"")</f>
        <v/>
      </c>
      <c r="D715" s="24"/>
      <c r="E715" s="24"/>
      <c r="F715" s="24"/>
      <c r="G715" s="29"/>
      <c r="H715" s="24"/>
    </row>
    <row r="716" spans="2:8" x14ac:dyDescent="0.25">
      <c r="B716" s="21" t="str" cm="1">
        <f t="array" aca="1" ref="B7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6" s="22" t="str" cm="1">
        <f t="array" aca="1" ref="C7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A716, "'!C:C")),"NOK"))&gt;0, "NOK", "Pending....")),"")</f>
        <v/>
      </c>
      <c r="D716" s="24"/>
      <c r="E716" s="24"/>
      <c r="F716" s="24"/>
      <c r="G716" s="29"/>
      <c r="H716" s="24"/>
    </row>
    <row r="717" spans="2:8" x14ac:dyDescent="0.25">
      <c r="B717" s="21" t="str" cm="1">
        <f t="array" aca="1" ref="B7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7" s="22" t="str" cm="1">
        <f t="array" aca="1" ref="C7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A717, "'!C:C")),"NOK"))&gt;0, "NOK", "Pending....")),"")</f>
        <v/>
      </c>
      <c r="D717" s="24"/>
      <c r="E717" s="24"/>
      <c r="F717" s="24"/>
      <c r="G717" s="29"/>
      <c r="H717" s="24"/>
    </row>
    <row r="718" spans="2:8" x14ac:dyDescent="0.25">
      <c r="B718" s="21" t="str" cm="1">
        <f t="array" aca="1" ref="B7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8" s="22" t="str" cm="1">
        <f t="array" aca="1" ref="C7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A718, "'!C:C")),"NOK"))&gt;0, "NOK", "Pending....")),"")</f>
        <v/>
      </c>
      <c r="D718" s="24"/>
      <c r="E718" s="24"/>
      <c r="F718" s="24"/>
      <c r="G718" s="29"/>
      <c r="H718" s="24"/>
    </row>
    <row r="719" spans="2:8" x14ac:dyDescent="0.25">
      <c r="B719" s="21" t="str" cm="1">
        <f t="array" aca="1" ref="B7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19" s="22" t="str" cm="1">
        <f t="array" aca="1" ref="C7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A719, "'!C:C")),"NOK"))&gt;0, "NOK", "Pending....")),"")</f>
        <v/>
      </c>
      <c r="D719" s="24"/>
      <c r="E719" s="24"/>
      <c r="F719" s="24"/>
      <c r="G719" s="29"/>
      <c r="H719" s="24"/>
    </row>
    <row r="720" spans="2:8" x14ac:dyDescent="0.25">
      <c r="B720" s="21" t="str" cm="1">
        <f t="array" aca="1" ref="B7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0" s="22" t="str" cm="1">
        <f t="array" aca="1" ref="C7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A720, "'!C:C")),"NOK"))&gt;0, "NOK", "Pending....")),"")</f>
        <v/>
      </c>
      <c r="D720" s="24"/>
      <c r="E720" s="24"/>
      <c r="F720" s="24"/>
      <c r="G720" s="29"/>
      <c r="H720" s="24"/>
    </row>
    <row r="721" spans="2:8" x14ac:dyDescent="0.25">
      <c r="B721" s="21" t="str" cm="1">
        <f t="array" aca="1" ref="B7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1" s="22" t="str" cm="1">
        <f t="array" aca="1" ref="C7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A721, "'!C:C")),"NOK"))&gt;0, "NOK", "Pending....")),"")</f>
        <v/>
      </c>
      <c r="D721" s="24"/>
      <c r="E721" s="24"/>
      <c r="F721" s="24"/>
      <c r="G721" s="29"/>
      <c r="H721" s="24"/>
    </row>
    <row r="722" spans="2:8" x14ac:dyDescent="0.25">
      <c r="B722" s="21" t="str" cm="1">
        <f t="array" aca="1" ref="B7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2" s="22" t="str" cm="1">
        <f t="array" aca="1" ref="C7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A722, "'!C:C")),"NOK"))&gt;0, "NOK", "Pending....")),"")</f>
        <v/>
      </c>
      <c r="D722" s="24"/>
      <c r="E722" s="24"/>
      <c r="F722" s="24"/>
      <c r="G722" s="29"/>
      <c r="H722" s="24"/>
    </row>
    <row r="723" spans="2:8" x14ac:dyDescent="0.25">
      <c r="B723" s="21" t="str" cm="1">
        <f t="array" aca="1" ref="B7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3" s="22" t="str" cm="1">
        <f t="array" aca="1" ref="C7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A723, "'!C:C")),"NOK"))&gt;0, "NOK", "Pending....")),"")</f>
        <v/>
      </c>
      <c r="D723" s="24"/>
      <c r="E723" s="24"/>
      <c r="F723" s="24"/>
      <c r="G723" s="29"/>
      <c r="H723" s="24"/>
    </row>
    <row r="724" spans="2:8" x14ac:dyDescent="0.25">
      <c r="B724" s="21" t="str" cm="1">
        <f t="array" aca="1" ref="B7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4" s="22" t="str" cm="1">
        <f t="array" aca="1" ref="C7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A724, "'!C:C")),"NOK"))&gt;0, "NOK", "Pending....")),"")</f>
        <v/>
      </c>
      <c r="D724" s="24"/>
      <c r="E724" s="24"/>
      <c r="F724" s="24"/>
      <c r="G724" s="29"/>
      <c r="H724" s="24"/>
    </row>
    <row r="725" spans="2:8" x14ac:dyDescent="0.25">
      <c r="B725" s="21" t="str" cm="1">
        <f t="array" aca="1" ref="B7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5" s="22" t="str" cm="1">
        <f t="array" aca="1" ref="C7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A725, "'!C:C")),"NOK"))&gt;0, "NOK", "Pending....")),"")</f>
        <v/>
      </c>
      <c r="D725" s="24"/>
      <c r="E725" s="24"/>
      <c r="F725" s="24"/>
      <c r="G725" s="29"/>
      <c r="H725" s="24"/>
    </row>
    <row r="726" spans="2:8" x14ac:dyDescent="0.25">
      <c r="B726" s="21" t="str" cm="1">
        <f t="array" aca="1" ref="B7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6" s="22" t="str" cm="1">
        <f t="array" aca="1" ref="C7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A726, "'!C:C")),"NOK"))&gt;0, "NOK", "Pending....")),"")</f>
        <v/>
      </c>
      <c r="D726" s="24"/>
      <c r="E726" s="24"/>
      <c r="F726" s="24"/>
      <c r="G726" s="29"/>
      <c r="H726" s="24"/>
    </row>
    <row r="727" spans="2:8" x14ac:dyDescent="0.25">
      <c r="B727" s="21" t="str" cm="1">
        <f t="array" aca="1" ref="B7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7" s="22" t="str" cm="1">
        <f t="array" aca="1" ref="C7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A727, "'!C:C")),"NOK"))&gt;0, "NOK", "Pending....")),"")</f>
        <v/>
      </c>
      <c r="D727" s="24"/>
      <c r="E727" s="24"/>
      <c r="F727" s="24"/>
      <c r="G727" s="29"/>
      <c r="H727" s="24"/>
    </row>
    <row r="728" spans="2:8" x14ac:dyDescent="0.25">
      <c r="B728" s="21" t="str" cm="1">
        <f t="array" aca="1" ref="B7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8" s="22" t="str" cm="1">
        <f t="array" aca="1" ref="C7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A728, "'!C:C")),"NOK"))&gt;0, "NOK", "Pending....")),"")</f>
        <v/>
      </c>
      <c r="D728" s="24"/>
      <c r="E728" s="24"/>
      <c r="F728" s="24"/>
      <c r="G728" s="29"/>
      <c r="H728" s="24"/>
    </row>
    <row r="729" spans="2:8" x14ac:dyDescent="0.25">
      <c r="B729" s="21" t="str" cm="1">
        <f t="array" aca="1" ref="B7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29" s="22" t="str" cm="1">
        <f t="array" aca="1" ref="C7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A729, "'!C:C")),"NOK"))&gt;0, "NOK", "Pending....")),"")</f>
        <v/>
      </c>
      <c r="D729" s="24"/>
      <c r="E729" s="24"/>
      <c r="F729" s="24"/>
      <c r="G729" s="29"/>
      <c r="H729" s="24"/>
    </row>
    <row r="730" spans="2:8" x14ac:dyDescent="0.25">
      <c r="B730" s="21" t="str" cm="1">
        <f t="array" aca="1" ref="B7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0" s="22" t="str" cm="1">
        <f t="array" aca="1" ref="C7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A730, "'!C:C")),"NOK"))&gt;0, "NOK", "Pending....")),"")</f>
        <v/>
      </c>
      <c r="D730" s="24"/>
      <c r="E730" s="24"/>
      <c r="F730" s="24"/>
      <c r="G730" s="29"/>
      <c r="H730" s="24"/>
    </row>
    <row r="731" spans="2:8" x14ac:dyDescent="0.25">
      <c r="B731" s="21" t="str" cm="1">
        <f t="array" aca="1" ref="B7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1" s="22" t="str" cm="1">
        <f t="array" aca="1" ref="C7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A731, "'!C:C")),"NOK"))&gt;0, "NOK", "Pending....")),"")</f>
        <v/>
      </c>
      <c r="D731" s="24"/>
      <c r="E731" s="24"/>
      <c r="F731" s="24"/>
      <c r="G731" s="29"/>
      <c r="H731" s="24"/>
    </row>
    <row r="732" spans="2:8" x14ac:dyDescent="0.25">
      <c r="B732" s="21" t="str" cm="1">
        <f t="array" aca="1" ref="B7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2" s="22" t="str" cm="1">
        <f t="array" aca="1" ref="C7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A732, "'!C:C")),"NOK"))&gt;0, "NOK", "Pending....")),"")</f>
        <v/>
      </c>
      <c r="D732" s="24"/>
      <c r="E732" s="24"/>
      <c r="F732" s="24"/>
      <c r="G732" s="29"/>
      <c r="H732" s="24"/>
    </row>
    <row r="733" spans="2:8" x14ac:dyDescent="0.25">
      <c r="B733" s="21" t="str" cm="1">
        <f t="array" aca="1" ref="B7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3" s="22" t="str" cm="1">
        <f t="array" aca="1" ref="C7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A733, "'!C:C")),"NOK"))&gt;0, "NOK", "Pending....")),"")</f>
        <v/>
      </c>
      <c r="D733" s="24"/>
      <c r="E733" s="24"/>
      <c r="F733" s="24"/>
      <c r="G733" s="29"/>
      <c r="H733" s="24"/>
    </row>
    <row r="734" spans="2:8" x14ac:dyDescent="0.25">
      <c r="B734" s="21" t="str" cm="1">
        <f t="array" aca="1" ref="B7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4" s="22" t="str" cm="1">
        <f t="array" aca="1" ref="C7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A734, "'!C:C")),"NOK"))&gt;0, "NOK", "Pending....")),"")</f>
        <v/>
      </c>
      <c r="D734" s="24"/>
      <c r="E734" s="24"/>
      <c r="F734" s="24"/>
      <c r="G734" s="29"/>
      <c r="H734" s="24"/>
    </row>
    <row r="735" spans="2:8" x14ac:dyDescent="0.25">
      <c r="B735" s="21" t="str" cm="1">
        <f t="array" aca="1" ref="B7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5" s="22" t="str" cm="1">
        <f t="array" aca="1" ref="C7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A735, "'!C:C")),"NOK"))&gt;0, "NOK", "Pending....")),"")</f>
        <v/>
      </c>
      <c r="D735" s="24"/>
      <c r="E735" s="24"/>
      <c r="F735" s="24"/>
      <c r="G735" s="29"/>
      <c r="H735" s="24"/>
    </row>
    <row r="736" spans="2:8" x14ac:dyDescent="0.25">
      <c r="B736" s="21" t="str" cm="1">
        <f t="array" aca="1" ref="B7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6" s="22" t="str" cm="1">
        <f t="array" aca="1" ref="C7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A736, "'!C:C")),"NOK"))&gt;0, "NOK", "Pending....")),"")</f>
        <v/>
      </c>
      <c r="D736" s="24"/>
      <c r="E736" s="24"/>
      <c r="F736" s="24"/>
      <c r="G736" s="29"/>
      <c r="H736" s="24"/>
    </row>
    <row r="737" spans="2:8" x14ac:dyDescent="0.25">
      <c r="B737" s="21" t="str" cm="1">
        <f t="array" aca="1" ref="B7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7" s="22" t="str" cm="1">
        <f t="array" aca="1" ref="C7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A737, "'!C:C")),"NOK"))&gt;0, "NOK", "Pending....")),"")</f>
        <v/>
      </c>
      <c r="D737" s="24"/>
      <c r="E737" s="24"/>
      <c r="F737" s="24"/>
      <c r="G737" s="29"/>
      <c r="H737" s="24"/>
    </row>
    <row r="738" spans="2:8" x14ac:dyDescent="0.25">
      <c r="B738" s="21" t="str" cm="1">
        <f t="array" aca="1" ref="B7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8" s="22" t="str" cm="1">
        <f t="array" aca="1" ref="C7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A738, "'!C:C")),"NOK"))&gt;0, "NOK", "Pending....")),"")</f>
        <v/>
      </c>
      <c r="D738" s="24"/>
      <c r="E738" s="24"/>
      <c r="F738" s="24"/>
      <c r="G738" s="29"/>
      <c r="H738" s="24"/>
    </row>
    <row r="739" spans="2:8" x14ac:dyDescent="0.25">
      <c r="B739" s="21" t="str" cm="1">
        <f t="array" aca="1" ref="B7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39" s="22" t="str" cm="1">
        <f t="array" aca="1" ref="C7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A739, "'!C:C")),"NOK"))&gt;0, "NOK", "Pending....")),"")</f>
        <v/>
      </c>
      <c r="D739" s="24"/>
      <c r="E739" s="24"/>
      <c r="F739" s="24"/>
      <c r="G739" s="29"/>
      <c r="H739" s="24"/>
    </row>
    <row r="740" spans="2:8" x14ac:dyDescent="0.25">
      <c r="B740" s="21" t="str" cm="1">
        <f t="array" aca="1" ref="B7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0" s="22" t="str" cm="1">
        <f t="array" aca="1" ref="C7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A740, "'!C:C")),"NOK"))&gt;0, "NOK", "Pending....")),"")</f>
        <v/>
      </c>
      <c r="D740" s="24"/>
      <c r="E740" s="24"/>
      <c r="F740" s="24"/>
      <c r="G740" s="29"/>
      <c r="H740" s="24"/>
    </row>
    <row r="741" spans="2:8" x14ac:dyDescent="0.25">
      <c r="B741" s="21" t="str" cm="1">
        <f t="array" aca="1" ref="B7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1" s="22" t="str" cm="1">
        <f t="array" aca="1" ref="C7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A741, "'!C:C")),"NOK"))&gt;0, "NOK", "Pending....")),"")</f>
        <v/>
      </c>
      <c r="D741" s="24"/>
      <c r="E741" s="24"/>
      <c r="F741" s="24"/>
      <c r="G741" s="29"/>
      <c r="H741" s="24"/>
    </row>
    <row r="742" spans="2:8" x14ac:dyDescent="0.25">
      <c r="B742" s="21" t="str" cm="1">
        <f t="array" aca="1" ref="B7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2" s="22" t="str" cm="1">
        <f t="array" aca="1" ref="C7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A742, "'!C:C")),"NOK"))&gt;0, "NOK", "Pending....")),"")</f>
        <v/>
      </c>
      <c r="D742" s="24"/>
      <c r="E742" s="24"/>
      <c r="F742" s="24"/>
      <c r="G742" s="29"/>
      <c r="H742" s="24"/>
    </row>
    <row r="743" spans="2:8" x14ac:dyDescent="0.25">
      <c r="B743" s="21" t="str" cm="1">
        <f t="array" aca="1" ref="B7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3" s="22" t="str" cm="1">
        <f t="array" aca="1" ref="C7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A743, "'!C:C")),"NOK"))&gt;0, "NOK", "Pending....")),"")</f>
        <v/>
      </c>
      <c r="D743" s="24"/>
      <c r="E743" s="24"/>
      <c r="F743" s="24"/>
      <c r="G743" s="29"/>
      <c r="H743" s="24"/>
    </row>
    <row r="744" spans="2:8" x14ac:dyDescent="0.25">
      <c r="B744" s="21" t="str" cm="1">
        <f t="array" aca="1" ref="B7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4" s="22" t="str" cm="1">
        <f t="array" aca="1" ref="C7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A744, "'!C:C")),"NOK"))&gt;0, "NOK", "Pending....")),"")</f>
        <v/>
      </c>
      <c r="D744" s="24"/>
      <c r="E744" s="24"/>
      <c r="F744" s="24"/>
      <c r="G744" s="29"/>
      <c r="H744" s="24"/>
    </row>
    <row r="745" spans="2:8" x14ac:dyDescent="0.25">
      <c r="B745" s="21" t="str" cm="1">
        <f t="array" aca="1" ref="B7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5" s="22" t="str" cm="1">
        <f t="array" aca="1" ref="C7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A745, "'!C:C")),"NOK"))&gt;0, "NOK", "Pending....")),"")</f>
        <v/>
      </c>
      <c r="D745" s="24"/>
      <c r="E745" s="24"/>
      <c r="F745" s="24"/>
      <c r="G745" s="29"/>
      <c r="H745" s="24"/>
    </row>
    <row r="746" spans="2:8" x14ac:dyDescent="0.25">
      <c r="B746" s="21" t="str" cm="1">
        <f t="array" aca="1" ref="B7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6" s="22" t="str" cm="1">
        <f t="array" aca="1" ref="C7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A746, "'!C:C")),"NOK"))&gt;0, "NOK", "Pending....")),"")</f>
        <v/>
      </c>
      <c r="D746" s="24"/>
      <c r="E746" s="24"/>
      <c r="F746" s="24"/>
      <c r="G746" s="29"/>
      <c r="H746" s="24"/>
    </row>
    <row r="747" spans="2:8" x14ac:dyDescent="0.25">
      <c r="B747" s="21" t="str" cm="1">
        <f t="array" aca="1" ref="B7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7" s="22" t="str" cm="1">
        <f t="array" aca="1" ref="C7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A747, "'!C:C")),"NOK"))&gt;0, "NOK", "Pending....")),"")</f>
        <v/>
      </c>
      <c r="D747" s="24"/>
      <c r="E747" s="24"/>
      <c r="F747" s="24"/>
      <c r="G747" s="29"/>
      <c r="H747" s="24"/>
    </row>
    <row r="748" spans="2:8" x14ac:dyDescent="0.25">
      <c r="B748" s="21" t="str" cm="1">
        <f t="array" aca="1" ref="B7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8" s="22" t="str" cm="1">
        <f t="array" aca="1" ref="C7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A748, "'!C:C")),"NOK"))&gt;0, "NOK", "Pending....")),"")</f>
        <v/>
      </c>
      <c r="D748" s="24"/>
      <c r="E748" s="24"/>
      <c r="F748" s="24"/>
      <c r="G748" s="29"/>
      <c r="H748" s="24"/>
    </row>
    <row r="749" spans="2:8" x14ac:dyDescent="0.25">
      <c r="B749" s="21" t="str" cm="1">
        <f t="array" aca="1" ref="B7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49" s="22" t="str" cm="1">
        <f t="array" aca="1" ref="C7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A749, "'!C:C")),"NOK"))&gt;0, "NOK", "Pending....")),"")</f>
        <v/>
      </c>
      <c r="D749" s="24"/>
      <c r="E749" s="24"/>
      <c r="F749" s="24"/>
      <c r="G749" s="29"/>
      <c r="H749" s="24"/>
    </row>
    <row r="750" spans="2:8" x14ac:dyDescent="0.25">
      <c r="B750" s="21" t="str" cm="1">
        <f t="array" aca="1" ref="B7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0" s="22" t="str" cm="1">
        <f t="array" aca="1" ref="C7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A750, "'!C:C")),"NOK"))&gt;0, "NOK", "Pending....")),"")</f>
        <v/>
      </c>
      <c r="D750" s="24"/>
      <c r="E750" s="24"/>
      <c r="F750" s="24"/>
      <c r="G750" s="29"/>
      <c r="H750" s="24"/>
    </row>
    <row r="751" spans="2:8" x14ac:dyDescent="0.25">
      <c r="B751" s="21" t="str" cm="1">
        <f t="array" aca="1" ref="B7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1" s="22" t="str" cm="1">
        <f t="array" aca="1" ref="C7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A751, "'!C:C")),"NOK"))&gt;0, "NOK", "Pending....")),"")</f>
        <v/>
      </c>
      <c r="D751" s="24"/>
      <c r="E751" s="24"/>
      <c r="F751" s="24"/>
      <c r="G751" s="29"/>
      <c r="H751" s="24"/>
    </row>
    <row r="752" spans="2:8" x14ac:dyDescent="0.25">
      <c r="B752" s="21" t="str" cm="1">
        <f t="array" aca="1" ref="B7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2" s="22" t="str" cm="1">
        <f t="array" aca="1" ref="C7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A752, "'!C:C")),"NOK"))&gt;0, "NOK", "Pending....")),"")</f>
        <v/>
      </c>
      <c r="D752" s="24"/>
      <c r="E752" s="24"/>
      <c r="F752" s="24"/>
      <c r="G752" s="29"/>
      <c r="H752" s="24"/>
    </row>
    <row r="753" spans="2:8" x14ac:dyDescent="0.25">
      <c r="B753" s="21" t="str" cm="1">
        <f t="array" aca="1" ref="B7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3" s="22" t="str" cm="1">
        <f t="array" aca="1" ref="C7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A753, "'!C:C")),"NOK"))&gt;0, "NOK", "Pending....")),"")</f>
        <v/>
      </c>
      <c r="D753" s="24"/>
      <c r="E753" s="24"/>
      <c r="F753" s="24"/>
      <c r="G753" s="29"/>
      <c r="H753" s="24"/>
    </row>
    <row r="754" spans="2:8" x14ac:dyDescent="0.25">
      <c r="B754" s="21" t="str" cm="1">
        <f t="array" aca="1" ref="B7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4" s="22" t="str" cm="1">
        <f t="array" aca="1" ref="C7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A754, "'!C:C")),"NOK"))&gt;0, "NOK", "Pending....")),"")</f>
        <v/>
      </c>
      <c r="D754" s="24"/>
      <c r="E754" s="24"/>
      <c r="F754" s="24"/>
      <c r="G754" s="29"/>
      <c r="H754" s="24"/>
    </row>
    <row r="755" spans="2:8" x14ac:dyDescent="0.25">
      <c r="B755" s="21" t="str" cm="1">
        <f t="array" aca="1" ref="B7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5" s="22" t="str" cm="1">
        <f t="array" aca="1" ref="C7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A755, "'!C:C")),"NOK"))&gt;0, "NOK", "Pending....")),"")</f>
        <v/>
      </c>
      <c r="D755" s="24"/>
      <c r="E755" s="24"/>
      <c r="F755" s="24"/>
      <c r="G755" s="29"/>
      <c r="H755" s="24"/>
    </row>
    <row r="756" spans="2:8" x14ac:dyDescent="0.25">
      <c r="B756" s="21" t="str" cm="1">
        <f t="array" aca="1" ref="B7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6" s="22" t="str" cm="1">
        <f t="array" aca="1" ref="C7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A756, "'!C:C")),"NOK"))&gt;0, "NOK", "Pending....")),"")</f>
        <v/>
      </c>
      <c r="D756" s="24"/>
      <c r="E756" s="24"/>
      <c r="F756" s="24"/>
      <c r="G756" s="29"/>
      <c r="H756" s="24"/>
    </row>
    <row r="757" spans="2:8" x14ac:dyDescent="0.25">
      <c r="B757" s="21" t="str" cm="1">
        <f t="array" aca="1" ref="B7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7" s="22" t="str" cm="1">
        <f t="array" aca="1" ref="C7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A757, "'!C:C")),"NOK"))&gt;0, "NOK", "Pending....")),"")</f>
        <v/>
      </c>
      <c r="D757" s="24"/>
      <c r="E757" s="24"/>
      <c r="F757" s="24"/>
      <c r="G757" s="29"/>
      <c r="H757" s="24"/>
    </row>
    <row r="758" spans="2:8" x14ac:dyDescent="0.25">
      <c r="B758" s="21" t="str" cm="1">
        <f t="array" aca="1" ref="B7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8" s="22" t="str" cm="1">
        <f t="array" aca="1" ref="C7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A758, "'!C:C")),"NOK"))&gt;0, "NOK", "Pending....")),"")</f>
        <v/>
      </c>
      <c r="D758" s="24"/>
      <c r="E758" s="24"/>
      <c r="F758" s="24"/>
      <c r="G758" s="29"/>
      <c r="H758" s="24"/>
    </row>
    <row r="759" spans="2:8" x14ac:dyDescent="0.25">
      <c r="B759" s="21" t="str" cm="1">
        <f t="array" aca="1" ref="B7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59" s="22" t="str" cm="1">
        <f t="array" aca="1" ref="C7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A759, "'!C:C")),"NOK"))&gt;0, "NOK", "Pending....")),"")</f>
        <v/>
      </c>
      <c r="D759" s="24"/>
      <c r="E759" s="24"/>
      <c r="F759" s="24"/>
      <c r="G759" s="29"/>
      <c r="H759" s="24"/>
    </row>
    <row r="760" spans="2:8" x14ac:dyDescent="0.25">
      <c r="B760" s="21" t="str" cm="1">
        <f t="array" aca="1" ref="B7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0" s="22" t="str" cm="1">
        <f t="array" aca="1" ref="C7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A760, "'!C:C")),"NOK"))&gt;0, "NOK", "Pending....")),"")</f>
        <v/>
      </c>
      <c r="D760" s="24"/>
      <c r="E760" s="24"/>
      <c r="F760" s="24"/>
      <c r="G760" s="29"/>
      <c r="H760" s="24"/>
    </row>
    <row r="761" spans="2:8" x14ac:dyDescent="0.25">
      <c r="B761" s="21" t="str" cm="1">
        <f t="array" aca="1" ref="B7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1" s="22" t="str" cm="1">
        <f t="array" aca="1" ref="C7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A761, "'!C:C")),"NOK"))&gt;0, "NOK", "Pending....")),"")</f>
        <v/>
      </c>
      <c r="D761" s="24"/>
      <c r="E761" s="24"/>
      <c r="F761" s="24"/>
      <c r="G761" s="29"/>
      <c r="H761" s="24"/>
    </row>
    <row r="762" spans="2:8" x14ac:dyDescent="0.25">
      <c r="B762" s="21" t="str" cm="1">
        <f t="array" aca="1" ref="B7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2" s="22" t="str" cm="1">
        <f t="array" aca="1" ref="C7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A762, "'!C:C")),"NOK"))&gt;0, "NOK", "Pending....")),"")</f>
        <v/>
      </c>
      <c r="D762" s="24"/>
      <c r="E762" s="24"/>
      <c r="F762" s="24"/>
      <c r="G762" s="29"/>
      <c r="H762" s="24"/>
    </row>
    <row r="763" spans="2:8" x14ac:dyDescent="0.25">
      <c r="B763" s="21" t="str" cm="1">
        <f t="array" aca="1" ref="B7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3" s="22" t="str" cm="1">
        <f t="array" aca="1" ref="C7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A763, "'!C:C")),"NOK"))&gt;0, "NOK", "Pending....")),"")</f>
        <v/>
      </c>
      <c r="D763" s="24"/>
      <c r="E763" s="24"/>
      <c r="F763" s="24"/>
      <c r="G763" s="29"/>
      <c r="H763" s="24"/>
    </row>
    <row r="764" spans="2:8" x14ac:dyDescent="0.25">
      <c r="B764" s="21" t="str" cm="1">
        <f t="array" aca="1" ref="B7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4" s="22" t="str" cm="1">
        <f t="array" aca="1" ref="C7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A764, "'!C:C")),"NOK"))&gt;0, "NOK", "Pending....")),"")</f>
        <v/>
      </c>
      <c r="D764" s="24"/>
      <c r="E764" s="24"/>
      <c r="F764" s="24"/>
      <c r="G764" s="29"/>
      <c r="H764" s="24"/>
    </row>
    <row r="765" spans="2:8" x14ac:dyDescent="0.25">
      <c r="B765" s="21" t="str" cm="1">
        <f t="array" aca="1" ref="B7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5" s="22" t="str" cm="1">
        <f t="array" aca="1" ref="C7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A765, "'!C:C")),"NOK"))&gt;0, "NOK", "Pending....")),"")</f>
        <v/>
      </c>
      <c r="D765" s="24"/>
      <c r="E765" s="24"/>
      <c r="F765" s="24"/>
      <c r="G765" s="29"/>
      <c r="H765" s="24"/>
    </row>
    <row r="766" spans="2:8" x14ac:dyDescent="0.25">
      <c r="B766" s="21" t="str" cm="1">
        <f t="array" aca="1" ref="B7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6" s="22" t="str" cm="1">
        <f t="array" aca="1" ref="C7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A766, "'!C:C")),"NOK"))&gt;0, "NOK", "Pending....")),"")</f>
        <v/>
      </c>
      <c r="D766" s="24"/>
      <c r="E766" s="24"/>
      <c r="F766" s="24"/>
      <c r="G766" s="29"/>
      <c r="H766" s="24"/>
    </row>
    <row r="767" spans="2:8" x14ac:dyDescent="0.25">
      <c r="B767" s="21" t="str" cm="1">
        <f t="array" aca="1" ref="B7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7" s="22" t="str" cm="1">
        <f t="array" aca="1" ref="C7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A767, "'!C:C")),"NOK"))&gt;0, "NOK", "Pending....")),"")</f>
        <v/>
      </c>
      <c r="D767" s="24"/>
      <c r="E767" s="24"/>
      <c r="F767" s="24"/>
      <c r="G767" s="29"/>
      <c r="H767" s="24"/>
    </row>
    <row r="768" spans="2:8" x14ac:dyDescent="0.25">
      <c r="B768" s="21" t="str" cm="1">
        <f t="array" aca="1" ref="B7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8" s="22" t="str" cm="1">
        <f t="array" aca="1" ref="C7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A768, "'!C:C")),"NOK"))&gt;0, "NOK", "Pending....")),"")</f>
        <v/>
      </c>
      <c r="D768" s="24"/>
      <c r="E768" s="24"/>
      <c r="F768" s="24"/>
      <c r="G768" s="29"/>
      <c r="H768" s="24"/>
    </row>
    <row r="769" spans="2:8" x14ac:dyDescent="0.25">
      <c r="B769" s="21" t="str" cm="1">
        <f t="array" aca="1" ref="B7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69" s="22" t="str" cm="1">
        <f t="array" aca="1" ref="C7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A769, "'!C:C")),"NOK"))&gt;0, "NOK", "Pending....")),"")</f>
        <v/>
      </c>
      <c r="D769" s="24"/>
      <c r="E769" s="24"/>
      <c r="F769" s="24"/>
      <c r="G769" s="29"/>
      <c r="H769" s="24"/>
    </row>
    <row r="770" spans="2:8" x14ac:dyDescent="0.25">
      <c r="B770" s="21" t="str" cm="1">
        <f t="array" aca="1" ref="B7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0" s="22" t="str" cm="1">
        <f t="array" aca="1" ref="C7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A770, "'!C:C")),"NOK"))&gt;0, "NOK", "Pending....")),"")</f>
        <v/>
      </c>
      <c r="D770" s="24"/>
      <c r="E770" s="24"/>
      <c r="F770" s="24"/>
      <c r="G770" s="29"/>
      <c r="H770" s="24"/>
    </row>
    <row r="771" spans="2:8" x14ac:dyDescent="0.25">
      <c r="B771" s="21" t="str" cm="1">
        <f t="array" aca="1" ref="B7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1" s="22" t="str" cm="1">
        <f t="array" aca="1" ref="C7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A771, "'!C:C")),"NOK"))&gt;0, "NOK", "Pending....")),"")</f>
        <v/>
      </c>
      <c r="D771" s="24"/>
      <c r="E771" s="24"/>
      <c r="F771" s="24"/>
      <c r="G771" s="29"/>
      <c r="H771" s="24"/>
    </row>
    <row r="772" spans="2:8" x14ac:dyDescent="0.25">
      <c r="B772" s="21" t="str" cm="1">
        <f t="array" aca="1" ref="B7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2" s="22" t="str" cm="1">
        <f t="array" aca="1" ref="C7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A772, "'!C:C")),"NOK"))&gt;0, "NOK", "Pending....")),"")</f>
        <v/>
      </c>
      <c r="D772" s="24"/>
      <c r="E772" s="24"/>
      <c r="F772" s="24"/>
      <c r="G772" s="29"/>
      <c r="H772" s="24"/>
    </row>
    <row r="773" spans="2:8" x14ac:dyDescent="0.25">
      <c r="B773" s="21" t="str" cm="1">
        <f t="array" aca="1" ref="B7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3" s="22" t="str" cm="1">
        <f t="array" aca="1" ref="C7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A773, "'!C:C")),"NOK"))&gt;0, "NOK", "Pending....")),"")</f>
        <v/>
      </c>
      <c r="D773" s="24"/>
      <c r="E773" s="24"/>
      <c r="F773" s="24"/>
      <c r="G773" s="29"/>
      <c r="H773" s="24"/>
    </row>
    <row r="774" spans="2:8" x14ac:dyDescent="0.25">
      <c r="B774" s="21" t="str" cm="1">
        <f t="array" aca="1" ref="B7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4" s="22" t="str" cm="1">
        <f t="array" aca="1" ref="C7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A774, "'!C:C")),"NOK"))&gt;0, "NOK", "Pending....")),"")</f>
        <v/>
      </c>
      <c r="D774" s="24"/>
      <c r="E774" s="24"/>
      <c r="F774" s="24"/>
      <c r="G774" s="29"/>
      <c r="H774" s="24"/>
    </row>
    <row r="775" spans="2:8" x14ac:dyDescent="0.25">
      <c r="B775" s="21" t="str" cm="1">
        <f t="array" aca="1" ref="B7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5" s="22" t="str" cm="1">
        <f t="array" aca="1" ref="C7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A775, "'!C:C")),"NOK"))&gt;0, "NOK", "Pending....")),"")</f>
        <v/>
      </c>
      <c r="D775" s="24"/>
      <c r="E775" s="24"/>
      <c r="F775" s="24"/>
      <c r="G775" s="29"/>
      <c r="H775" s="24"/>
    </row>
    <row r="776" spans="2:8" x14ac:dyDescent="0.25">
      <c r="B776" s="21" t="str" cm="1">
        <f t="array" aca="1" ref="B7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6" s="22" t="str" cm="1">
        <f t="array" aca="1" ref="C7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A776, "'!C:C")),"NOK"))&gt;0, "NOK", "Pending....")),"")</f>
        <v/>
      </c>
      <c r="D776" s="24"/>
      <c r="E776" s="24"/>
      <c r="F776" s="24"/>
      <c r="G776" s="29"/>
      <c r="H776" s="24"/>
    </row>
    <row r="777" spans="2:8" x14ac:dyDescent="0.25">
      <c r="B777" s="21" t="str" cm="1">
        <f t="array" aca="1" ref="B7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7" s="22" t="str" cm="1">
        <f t="array" aca="1" ref="C7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A777, "'!C:C")),"NOK"))&gt;0, "NOK", "Pending....")),"")</f>
        <v/>
      </c>
      <c r="D777" s="24"/>
      <c r="E777" s="24"/>
      <c r="F777" s="24"/>
      <c r="G777" s="29"/>
      <c r="H777" s="24"/>
    </row>
    <row r="778" spans="2:8" x14ac:dyDescent="0.25">
      <c r="B778" s="21" t="str" cm="1">
        <f t="array" aca="1" ref="B7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8" s="22" t="str" cm="1">
        <f t="array" aca="1" ref="C7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A778, "'!C:C")),"NOK"))&gt;0, "NOK", "Pending....")),"")</f>
        <v/>
      </c>
      <c r="D778" s="24"/>
      <c r="E778" s="24"/>
      <c r="F778" s="24"/>
      <c r="G778" s="29"/>
      <c r="H778" s="24"/>
    </row>
    <row r="779" spans="2:8" x14ac:dyDescent="0.25">
      <c r="B779" s="21" t="str" cm="1">
        <f t="array" aca="1" ref="B7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79" s="22" t="str" cm="1">
        <f t="array" aca="1" ref="C7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A779, "'!C:C")),"NOK"))&gt;0, "NOK", "Pending....")),"")</f>
        <v/>
      </c>
      <c r="D779" s="24"/>
      <c r="E779" s="24"/>
      <c r="F779" s="24"/>
      <c r="G779" s="29"/>
      <c r="H779" s="24"/>
    </row>
    <row r="780" spans="2:8" x14ac:dyDescent="0.25">
      <c r="B780" s="21" t="str" cm="1">
        <f t="array" aca="1" ref="B7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0" s="22" t="str" cm="1">
        <f t="array" aca="1" ref="C7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A780, "'!C:C")),"NOK"))&gt;0, "NOK", "Pending....")),"")</f>
        <v/>
      </c>
      <c r="D780" s="24"/>
      <c r="E780" s="24"/>
      <c r="F780" s="24"/>
      <c r="G780" s="29"/>
      <c r="H780" s="24"/>
    </row>
    <row r="781" spans="2:8" x14ac:dyDescent="0.25">
      <c r="B781" s="21" t="str" cm="1">
        <f t="array" aca="1" ref="B7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1" s="22" t="str" cm="1">
        <f t="array" aca="1" ref="C7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A781, "'!C:C")),"NOK"))&gt;0, "NOK", "Pending....")),"")</f>
        <v/>
      </c>
      <c r="D781" s="24"/>
      <c r="E781" s="24"/>
      <c r="F781" s="24"/>
      <c r="G781" s="29"/>
      <c r="H781" s="24"/>
    </row>
    <row r="782" spans="2:8" x14ac:dyDescent="0.25">
      <c r="B782" s="21" t="str" cm="1">
        <f t="array" aca="1" ref="B7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2" s="22" t="str" cm="1">
        <f t="array" aca="1" ref="C7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A782, "'!C:C")),"NOK"))&gt;0, "NOK", "Pending....")),"")</f>
        <v/>
      </c>
      <c r="D782" s="24"/>
      <c r="E782" s="24"/>
      <c r="F782" s="24"/>
      <c r="G782" s="29"/>
      <c r="H782" s="24"/>
    </row>
    <row r="783" spans="2:8" x14ac:dyDescent="0.25">
      <c r="B783" s="21" t="str" cm="1">
        <f t="array" aca="1" ref="B7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3" s="22" t="str" cm="1">
        <f t="array" aca="1" ref="C7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A783, "'!C:C")),"NOK"))&gt;0, "NOK", "Pending....")),"")</f>
        <v/>
      </c>
      <c r="D783" s="24"/>
      <c r="E783" s="24"/>
      <c r="F783" s="24"/>
      <c r="G783" s="29"/>
      <c r="H783" s="24"/>
    </row>
    <row r="784" spans="2:8" x14ac:dyDescent="0.25">
      <c r="B784" s="21" t="str" cm="1">
        <f t="array" aca="1" ref="B7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4" s="22" t="str" cm="1">
        <f t="array" aca="1" ref="C7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A784, "'!C:C")),"NOK"))&gt;0, "NOK", "Pending....")),"")</f>
        <v/>
      </c>
      <c r="D784" s="24"/>
      <c r="E784" s="24"/>
      <c r="F784" s="24"/>
      <c r="G784" s="29"/>
      <c r="H784" s="24"/>
    </row>
    <row r="785" spans="2:8" x14ac:dyDescent="0.25">
      <c r="B785" s="21" t="str" cm="1">
        <f t="array" aca="1" ref="B7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5" s="22" t="str" cm="1">
        <f t="array" aca="1" ref="C7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A785, "'!C:C")),"NOK"))&gt;0, "NOK", "Pending....")),"")</f>
        <v/>
      </c>
      <c r="D785" s="24"/>
      <c r="E785" s="24"/>
      <c r="F785" s="24"/>
      <c r="G785" s="29"/>
      <c r="H785" s="24"/>
    </row>
    <row r="786" spans="2:8" x14ac:dyDescent="0.25">
      <c r="B786" s="21" t="str" cm="1">
        <f t="array" aca="1" ref="B7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6" s="22" t="str" cm="1">
        <f t="array" aca="1" ref="C7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A786, "'!C:C")),"NOK"))&gt;0, "NOK", "Pending....")),"")</f>
        <v/>
      </c>
      <c r="D786" s="24"/>
      <c r="E786" s="24"/>
      <c r="F786" s="24"/>
      <c r="G786" s="29"/>
      <c r="H786" s="24"/>
    </row>
    <row r="787" spans="2:8" x14ac:dyDescent="0.25">
      <c r="B787" s="21" t="str" cm="1">
        <f t="array" aca="1" ref="B7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7" s="22" t="str" cm="1">
        <f t="array" aca="1" ref="C7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A787, "'!C:C")),"NOK"))&gt;0, "NOK", "Pending....")),"")</f>
        <v/>
      </c>
      <c r="D787" s="24"/>
      <c r="E787" s="24"/>
      <c r="F787" s="24"/>
      <c r="G787" s="29"/>
      <c r="H787" s="24"/>
    </row>
    <row r="788" spans="2:8" x14ac:dyDescent="0.25">
      <c r="B788" s="21" t="str" cm="1">
        <f t="array" aca="1" ref="B7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8" s="22" t="str" cm="1">
        <f t="array" aca="1" ref="C7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A788, "'!C:C")),"NOK"))&gt;0, "NOK", "Pending....")),"")</f>
        <v/>
      </c>
      <c r="D788" s="24"/>
      <c r="E788" s="24"/>
      <c r="F788" s="24"/>
      <c r="G788" s="29"/>
      <c r="H788" s="24"/>
    </row>
    <row r="789" spans="2:8" x14ac:dyDescent="0.25">
      <c r="B789" s="21" t="str" cm="1">
        <f t="array" aca="1" ref="B7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89" s="22" t="str" cm="1">
        <f t="array" aca="1" ref="C7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A789, "'!C:C")),"NOK"))&gt;0, "NOK", "Pending....")),"")</f>
        <v/>
      </c>
      <c r="D789" s="24"/>
      <c r="E789" s="24"/>
      <c r="F789" s="24"/>
      <c r="G789" s="29"/>
      <c r="H789" s="24"/>
    </row>
    <row r="790" spans="2:8" x14ac:dyDescent="0.25">
      <c r="B790" s="21" t="str" cm="1">
        <f t="array" aca="1" ref="B7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0" s="22" t="str" cm="1">
        <f t="array" aca="1" ref="C7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A790, "'!C:C")),"NOK"))&gt;0, "NOK", "Pending....")),"")</f>
        <v/>
      </c>
      <c r="D790" s="24"/>
      <c r="E790" s="24"/>
      <c r="F790" s="24"/>
      <c r="G790" s="29"/>
      <c r="H790" s="24"/>
    </row>
    <row r="791" spans="2:8" x14ac:dyDescent="0.25">
      <c r="B791" s="21" t="str" cm="1">
        <f t="array" aca="1" ref="B7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1" s="22" t="str" cm="1">
        <f t="array" aca="1" ref="C7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A791, "'!C:C")),"NOK"))&gt;0, "NOK", "Pending....")),"")</f>
        <v/>
      </c>
      <c r="D791" s="24"/>
      <c r="E791" s="24"/>
      <c r="F791" s="24"/>
      <c r="G791" s="29"/>
      <c r="H791" s="24"/>
    </row>
    <row r="792" spans="2:8" x14ac:dyDescent="0.25">
      <c r="B792" s="21" t="str" cm="1">
        <f t="array" aca="1" ref="B7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2" s="22" t="str" cm="1">
        <f t="array" aca="1" ref="C7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A792, "'!C:C")),"NOK"))&gt;0, "NOK", "Pending....")),"")</f>
        <v/>
      </c>
      <c r="D792" s="24"/>
      <c r="E792" s="24"/>
      <c r="F792" s="24"/>
      <c r="G792" s="29"/>
      <c r="H792" s="24"/>
    </row>
    <row r="793" spans="2:8" x14ac:dyDescent="0.25">
      <c r="B793" s="21" t="str" cm="1">
        <f t="array" aca="1" ref="B7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3" s="22" t="str" cm="1">
        <f t="array" aca="1" ref="C7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A793, "'!C:C")),"NOK"))&gt;0, "NOK", "Pending....")),"")</f>
        <v/>
      </c>
      <c r="D793" s="24"/>
      <c r="E793" s="24"/>
      <c r="F793" s="24"/>
      <c r="G793" s="29"/>
      <c r="H793" s="24"/>
    </row>
    <row r="794" spans="2:8" x14ac:dyDescent="0.25">
      <c r="B794" s="21" t="str" cm="1">
        <f t="array" aca="1" ref="B7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4" s="22" t="str" cm="1">
        <f t="array" aca="1" ref="C7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A794, "'!C:C")),"NOK"))&gt;0, "NOK", "Pending....")),"")</f>
        <v/>
      </c>
      <c r="D794" s="24"/>
      <c r="E794" s="24"/>
      <c r="F794" s="24"/>
      <c r="G794" s="29"/>
      <c r="H794" s="24"/>
    </row>
    <row r="795" spans="2:8" x14ac:dyDescent="0.25">
      <c r="B795" s="21" t="str" cm="1">
        <f t="array" aca="1" ref="B7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5" s="22" t="str" cm="1">
        <f t="array" aca="1" ref="C7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A795, "'!C:C")),"NOK"))&gt;0, "NOK", "Pending....")),"")</f>
        <v/>
      </c>
      <c r="D795" s="24"/>
      <c r="E795" s="24"/>
      <c r="F795" s="24"/>
      <c r="G795" s="29"/>
      <c r="H795" s="24"/>
    </row>
    <row r="796" spans="2:8" x14ac:dyDescent="0.25">
      <c r="B796" s="21" t="str" cm="1">
        <f t="array" aca="1" ref="B7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6" s="22" t="str" cm="1">
        <f t="array" aca="1" ref="C7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A796, "'!C:C")),"NOK"))&gt;0, "NOK", "Pending....")),"")</f>
        <v/>
      </c>
      <c r="D796" s="24"/>
      <c r="E796" s="24"/>
      <c r="F796" s="24"/>
      <c r="G796" s="29"/>
      <c r="H796" s="24"/>
    </row>
    <row r="797" spans="2:8" x14ac:dyDescent="0.25">
      <c r="B797" s="21" t="str" cm="1">
        <f t="array" aca="1" ref="B7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7" s="22" t="str" cm="1">
        <f t="array" aca="1" ref="C7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A797, "'!C:C")),"NOK"))&gt;0, "NOK", "Pending....")),"")</f>
        <v/>
      </c>
      <c r="D797" s="24"/>
      <c r="E797" s="24"/>
      <c r="F797" s="24"/>
      <c r="G797" s="29"/>
      <c r="H797" s="24"/>
    </row>
    <row r="798" spans="2:8" x14ac:dyDescent="0.25">
      <c r="B798" s="21" t="str" cm="1">
        <f t="array" aca="1" ref="B7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8" s="22" t="str" cm="1">
        <f t="array" aca="1" ref="C7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A798, "'!C:C")),"NOK"))&gt;0, "NOK", "Pending....")),"")</f>
        <v/>
      </c>
      <c r="D798" s="24"/>
      <c r="E798" s="24"/>
      <c r="F798" s="24"/>
      <c r="G798" s="29"/>
      <c r="H798" s="24"/>
    </row>
    <row r="799" spans="2:8" x14ac:dyDescent="0.25">
      <c r="B799" s="21" t="str" cm="1">
        <f t="array" aca="1" ref="B7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799" s="22" t="str" cm="1">
        <f t="array" aca="1" ref="C7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A799, "'!C:C")),"NOK"))&gt;0, "NOK", "Pending....")),"")</f>
        <v/>
      </c>
      <c r="D799" s="24"/>
      <c r="E799" s="24"/>
      <c r="F799" s="24"/>
      <c r="G799" s="29"/>
      <c r="H799" s="24"/>
    </row>
    <row r="800" spans="2:8" x14ac:dyDescent="0.25">
      <c r="B800" s="21" t="str" cm="1">
        <f t="array" aca="1" ref="B8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0" s="22" t="str" cm="1">
        <f t="array" aca="1" ref="C8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A800, "'!C:C")),"NOK"))&gt;0, "NOK", "Pending....")),"")</f>
        <v/>
      </c>
      <c r="D800" s="24"/>
      <c r="E800" s="24"/>
      <c r="F800" s="24"/>
      <c r="G800" s="29"/>
      <c r="H800" s="24"/>
    </row>
    <row r="801" spans="2:8" x14ac:dyDescent="0.25">
      <c r="B801" s="21" t="str" cm="1">
        <f t="array" aca="1" ref="B8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1" s="22" t="str" cm="1">
        <f t="array" aca="1" ref="C8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A801, "'!C:C")),"NOK"))&gt;0, "NOK", "Pending....")),"")</f>
        <v/>
      </c>
      <c r="D801" s="24"/>
      <c r="E801" s="24"/>
      <c r="F801" s="24"/>
      <c r="G801" s="29"/>
      <c r="H801" s="24"/>
    </row>
    <row r="802" spans="2:8" x14ac:dyDescent="0.25">
      <c r="B802" s="21" t="str" cm="1">
        <f t="array" aca="1" ref="B8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2" s="22" t="str" cm="1">
        <f t="array" aca="1" ref="C8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A802, "'!C:C")),"NOK"))&gt;0, "NOK", "Pending....")),"")</f>
        <v/>
      </c>
      <c r="D802" s="24"/>
      <c r="E802" s="24"/>
      <c r="F802" s="24"/>
      <c r="G802" s="29"/>
      <c r="H802" s="24"/>
    </row>
    <row r="803" spans="2:8" x14ac:dyDescent="0.25">
      <c r="B803" s="21" t="str" cm="1">
        <f t="array" aca="1" ref="B8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3" s="22" t="str" cm="1">
        <f t="array" aca="1" ref="C8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A803, "'!C:C")),"NOK"))&gt;0, "NOK", "Pending....")),"")</f>
        <v/>
      </c>
      <c r="D803" s="24"/>
      <c r="E803" s="24"/>
      <c r="F803" s="24"/>
      <c r="G803" s="29"/>
      <c r="H803" s="24"/>
    </row>
    <row r="804" spans="2:8" x14ac:dyDescent="0.25">
      <c r="B804" s="21" t="str" cm="1">
        <f t="array" aca="1" ref="B8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4" s="22" t="str" cm="1">
        <f t="array" aca="1" ref="C8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A804, "'!C:C")),"NOK"))&gt;0, "NOK", "Pending....")),"")</f>
        <v/>
      </c>
      <c r="D804" s="24"/>
      <c r="E804" s="24"/>
      <c r="F804" s="24"/>
      <c r="G804" s="29"/>
      <c r="H804" s="24"/>
    </row>
    <row r="805" spans="2:8" x14ac:dyDescent="0.25">
      <c r="B805" s="21" t="str" cm="1">
        <f t="array" aca="1" ref="B8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5" s="22" t="str" cm="1">
        <f t="array" aca="1" ref="C8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A805, "'!C:C")),"NOK"))&gt;0, "NOK", "Pending....")),"")</f>
        <v/>
      </c>
      <c r="D805" s="24"/>
      <c r="E805" s="24"/>
      <c r="F805" s="24"/>
      <c r="G805" s="29"/>
      <c r="H805" s="24"/>
    </row>
    <row r="806" spans="2:8" x14ac:dyDescent="0.25">
      <c r="B806" s="21" t="str" cm="1">
        <f t="array" aca="1" ref="B8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6" s="22" t="str" cm="1">
        <f t="array" aca="1" ref="C8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A806, "'!C:C")),"NOK"))&gt;0, "NOK", "Pending....")),"")</f>
        <v/>
      </c>
      <c r="D806" s="24"/>
      <c r="E806" s="24"/>
      <c r="F806" s="24"/>
      <c r="G806" s="29"/>
      <c r="H806" s="24"/>
    </row>
    <row r="807" spans="2:8" x14ac:dyDescent="0.25">
      <c r="B807" s="21" t="str" cm="1">
        <f t="array" aca="1" ref="B8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7" s="22" t="str" cm="1">
        <f t="array" aca="1" ref="C8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A807, "'!C:C")),"NOK"))&gt;0, "NOK", "Pending....")),"")</f>
        <v/>
      </c>
      <c r="D807" s="24"/>
      <c r="E807" s="24"/>
      <c r="F807" s="24"/>
      <c r="G807" s="29"/>
      <c r="H807" s="24"/>
    </row>
    <row r="808" spans="2:8" x14ac:dyDescent="0.25">
      <c r="B808" s="21" t="str" cm="1">
        <f t="array" aca="1" ref="B8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8" s="22" t="str" cm="1">
        <f t="array" aca="1" ref="C8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A808, "'!C:C")),"NOK"))&gt;0, "NOK", "Pending....")),"")</f>
        <v/>
      </c>
      <c r="D808" s="24"/>
      <c r="E808" s="24"/>
      <c r="F808" s="24"/>
      <c r="G808" s="29"/>
      <c r="H808" s="24"/>
    </row>
    <row r="809" spans="2:8" x14ac:dyDescent="0.25">
      <c r="B809" s="21" t="str" cm="1">
        <f t="array" aca="1" ref="B8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09" s="22" t="str" cm="1">
        <f t="array" aca="1" ref="C8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A809, "'!C:C")),"NOK"))&gt;0, "NOK", "Pending....")),"")</f>
        <v/>
      </c>
      <c r="D809" s="24"/>
      <c r="E809" s="24"/>
      <c r="F809" s="24"/>
      <c r="G809" s="29"/>
      <c r="H809" s="24"/>
    </row>
    <row r="810" spans="2:8" x14ac:dyDescent="0.25">
      <c r="B810" s="21" t="str" cm="1">
        <f t="array" aca="1" ref="B8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0" s="22" t="str" cm="1">
        <f t="array" aca="1" ref="C8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A810, "'!C:C")),"NOK"))&gt;0, "NOK", "Pending....")),"")</f>
        <v/>
      </c>
      <c r="D810" s="24"/>
      <c r="E810" s="24"/>
      <c r="F810" s="24"/>
      <c r="G810" s="29"/>
      <c r="H810" s="24"/>
    </row>
    <row r="811" spans="2:8" x14ac:dyDescent="0.25">
      <c r="B811" s="21" t="str" cm="1">
        <f t="array" aca="1" ref="B8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1" s="22" t="str" cm="1">
        <f t="array" aca="1" ref="C8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A811, "'!C:C")),"NOK"))&gt;0, "NOK", "Pending....")),"")</f>
        <v/>
      </c>
      <c r="D811" s="24"/>
      <c r="E811" s="24"/>
      <c r="F811" s="24"/>
      <c r="G811" s="29"/>
      <c r="H811" s="24"/>
    </row>
    <row r="812" spans="2:8" x14ac:dyDescent="0.25">
      <c r="B812" s="21" t="str" cm="1">
        <f t="array" aca="1" ref="B8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2" s="22" t="str" cm="1">
        <f t="array" aca="1" ref="C8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A812, "'!C:C")),"NOK"))&gt;0, "NOK", "Pending....")),"")</f>
        <v/>
      </c>
      <c r="D812" s="24"/>
      <c r="E812" s="24"/>
      <c r="F812" s="24"/>
      <c r="G812" s="29"/>
      <c r="H812" s="24"/>
    </row>
    <row r="813" spans="2:8" x14ac:dyDescent="0.25">
      <c r="B813" s="21" t="str" cm="1">
        <f t="array" aca="1" ref="B8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3" s="22" t="str" cm="1">
        <f t="array" aca="1" ref="C8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A813, "'!C:C")),"NOK"))&gt;0, "NOK", "Pending....")),"")</f>
        <v/>
      </c>
      <c r="D813" s="24"/>
      <c r="E813" s="24"/>
      <c r="F813" s="24"/>
      <c r="G813" s="29"/>
      <c r="H813" s="24"/>
    </row>
    <row r="814" spans="2:8" x14ac:dyDescent="0.25">
      <c r="B814" s="21" t="str" cm="1">
        <f t="array" aca="1" ref="B8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4" s="22" t="str" cm="1">
        <f t="array" aca="1" ref="C8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A814, "'!C:C")),"NOK"))&gt;0, "NOK", "Pending....")),"")</f>
        <v/>
      </c>
      <c r="D814" s="24"/>
      <c r="E814" s="24"/>
      <c r="F814" s="24"/>
      <c r="G814" s="29"/>
      <c r="H814" s="24"/>
    </row>
    <row r="815" spans="2:8" x14ac:dyDescent="0.25">
      <c r="B815" s="21" t="str" cm="1">
        <f t="array" aca="1" ref="B8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5" s="22" t="str" cm="1">
        <f t="array" aca="1" ref="C8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A815, "'!C:C")),"NOK"))&gt;0, "NOK", "Pending....")),"")</f>
        <v/>
      </c>
      <c r="D815" s="24"/>
      <c r="E815" s="24"/>
      <c r="F815" s="24"/>
      <c r="G815" s="29"/>
      <c r="H815" s="24"/>
    </row>
    <row r="816" spans="2:8" x14ac:dyDescent="0.25">
      <c r="B816" s="21" t="str" cm="1">
        <f t="array" aca="1" ref="B8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6" s="22" t="str" cm="1">
        <f t="array" aca="1" ref="C8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A816, "'!C:C")),"NOK"))&gt;0, "NOK", "Pending....")),"")</f>
        <v/>
      </c>
      <c r="D816" s="24"/>
      <c r="E816" s="24"/>
      <c r="F816" s="24"/>
      <c r="G816" s="29"/>
      <c r="H816" s="24"/>
    </row>
    <row r="817" spans="2:8" x14ac:dyDescent="0.25">
      <c r="B817" s="21" t="str" cm="1">
        <f t="array" aca="1" ref="B8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7" s="22" t="str" cm="1">
        <f t="array" aca="1" ref="C8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A817, "'!C:C")),"NOK"))&gt;0, "NOK", "Pending....")),"")</f>
        <v/>
      </c>
      <c r="D817" s="24"/>
      <c r="E817" s="24"/>
      <c r="F817" s="24"/>
      <c r="G817" s="29"/>
      <c r="H817" s="24"/>
    </row>
    <row r="818" spans="2:8" x14ac:dyDescent="0.25">
      <c r="B818" s="21" t="str" cm="1">
        <f t="array" aca="1" ref="B8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8" s="22" t="str" cm="1">
        <f t="array" aca="1" ref="C8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A818, "'!C:C")),"NOK"))&gt;0, "NOK", "Pending....")),"")</f>
        <v/>
      </c>
      <c r="D818" s="24"/>
      <c r="E818" s="24"/>
      <c r="F818" s="24"/>
      <c r="G818" s="29"/>
      <c r="H818" s="24"/>
    </row>
    <row r="819" spans="2:8" x14ac:dyDescent="0.25">
      <c r="B819" s="21" t="str" cm="1">
        <f t="array" aca="1" ref="B8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19" s="22" t="str" cm="1">
        <f t="array" aca="1" ref="C8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A819, "'!C:C")),"NOK"))&gt;0, "NOK", "Pending....")),"")</f>
        <v/>
      </c>
      <c r="D819" s="24"/>
      <c r="E819" s="24"/>
      <c r="F819" s="24"/>
      <c r="G819" s="29"/>
      <c r="H819" s="24"/>
    </row>
    <row r="820" spans="2:8" x14ac:dyDescent="0.25">
      <c r="B820" s="21" t="str" cm="1">
        <f t="array" aca="1" ref="B8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0" s="22" t="str" cm="1">
        <f t="array" aca="1" ref="C8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A820, "'!C:C")),"NOK"))&gt;0, "NOK", "Pending....")),"")</f>
        <v/>
      </c>
      <c r="D820" s="24"/>
      <c r="E820" s="24"/>
      <c r="F820" s="24"/>
      <c r="G820" s="29"/>
      <c r="H820" s="24"/>
    </row>
    <row r="821" spans="2:8" x14ac:dyDescent="0.25">
      <c r="B821" s="21" t="str" cm="1">
        <f t="array" aca="1" ref="B8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1" s="22" t="str" cm="1">
        <f t="array" aca="1" ref="C8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A821, "'!C:C")),"NOK"))&gt;0, "NOK", "Pending....")),"")</f>
        <v/>
      </c>
      <c r="D821" s="24"/>
      <c r="E821" s="24"/>
      <c r="F821" s="24"/>
      <c r="G821" s="29"/>
      <c r="H821" s="24"/>
    </row>
    <row r="822" spans="2:8" x14ac:dyDescent="0.25">
      <c r="B822" s="21" t="str" cm="1">
        <f t="array" aca="1" ref="B8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2" s="22" t="str" cm="1">
        <f t="array" aca="1" ref="C8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A822, "'!C:C")),"NOK"))&gt;0, "NOK", "Pending....")),"")</f>
        <v/>
      </c>
      <c r="D822" s="24"/>
      <c r="E822" s="24"/>
      <c r="F822" s="24"/>
      <c r="G822" s="29"/>
      <c r="H822" s="24"/>
    </row>
    <row r="823" spans="2:8" x14ac:dyDescent="0.25">
      <c r="B823" s="21" t="str" cm="1">
        <f t="array" aca="1" ref="B8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3" s="22" t="str" cm="1">
        <f t="array" aca="1" ref="C8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A823, "'!C:C")),"NOK"))&gt;0, "NOK", "Pending....")),"")</f>
        <v/>
      </c>
      <c r="D823" s="24"/>
      <c r="E823" s="24"/>
      <c r="F823" s="24"/>
      <c r="G823" s="29"/>
      <c r="H823" s="24"/>
    </row>
    <row r="824" spans="2:8" x14ac:dyDescent="0.25">
      <c r="B824" s="21" t="str" cm="1">
        <f t="array" aca="1" ref="B8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4" s="22" t="str" cm="1">
        <f t="array" aca="1" ref="C8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A824, "'!C:C")),"NOK"))&gt;0, "NOK", "Pending....")),"")</f>
        <v/>
      </c>
      <c r="D824" s="24"/>
      <c r="E824" s="24"/>
      <c r="F824" s="24"/>
      <c r="G824" s="29"/>
      <c r="H824" s="24"/>
    </row>
    <row r="825" spans="2:8" x14ac:dyDescent="0.25">
      <c r="B825" s="21" t="str" cm="1">
        <f t="array" aca="1" ref="B8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5" s="22" t="str" cm="1">
        <f t="array" aca="1" ref="C8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A825, "'!C:C")),"NOK"))&gt;0, "NOK", "Pending....")),"")</f>
        <v/>
      </c>
      <c r="D825" s="24"/>
      <c r="E825" s="24"/>
      <c r="F825" s="24"/>
      <c r="G825" s="29"/>
      <c r="H825" s="24"/>
    </row>
    <row r="826" spans="2:8" x14ac:dyDescent="0.25">
      <c r="B826" s="21" t="str" cm="1">
        <f t="array" aca="1" ref="B8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6" s="22" t="str" cm="1">
        <f t="array" aca="1" ref="C8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A826, "'!C:C")),"NOK"))&gt;0, "NOK", "Pending....")),"")</f>
        <v/>
      </c>
      <c r="D826" s="24"/>
      <c r="E826" s="24"/>
      <c r="F826" s="24"/>
      <c r="G826" s="29"/>
      <c r="H826" s="24"/>
    </row>
    <row r="827" spans="2:8" x14ac:dyDescent="0.25">
      <c r="B827" s="21" t="str" cm="1">
        <f t="array" aca="1" ref="B8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7" s="22" t="str" cm="1">
        <f t="array" aca="1" ref="C8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A827, "'!C:C")),"NOK"))&gt;0, "NOK", "Pending....")),"")</f>
        <v/>
      </c>
      <c r="D827" s="24"/>
      <c r="E827" s="24"/>
      <c r="F827" s="24"/>
      <c r="G827" s="29"/>
      <c r="H827" s="24"/>
    </row>
    <row r="828" spans="2:8" x14ac:dyDescent="0.25">
      <c r="B828" s="21" t="str" cm="1">
        <f t="array" aca="1" ref="B8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8" s="22" t="str" cm="1">
        <f t="array" aca="1" ref="C8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A828, "'!C:C")),"NOK"))&gt;0, "NOK", "Pending....")),"")</f>
        <v/>
      </c>
      <c r="D828" s="24"/>
      <c r="E828" s="24"/>
      <c r="F828" s="24"/>
      <c r="G828" s="29"/>
      <c r="H828" s="24"/>
    </row>
    <row r="829" spans="2:8" x14ac:dyDescent="0.25">
      <c r="B829" s="21" t="str" cm="1">
        <f t="array" aca="1" ref="B8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29" s="22" t="str" cm="1">
        <f t="array" aca="1" ref="C8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A829, "'!C:C")),"NOK"))&gt;0, "NOK", "Pending....")),"")</f>
        <v/>
      </c>
      <c r="D829" s="24"/>
      <c r="E829" s="24"/>
      <c r="F829" s="24"/>
      <c r="G829" s="29"/>
      <c r="H829" s="24"/>
    </row>
    <row r="830" spans="2:8" x14ac:dyDescent="0.25">
      <c r="B830" s="21" t="str" cm="1">
        <f t="array" aca="1" ref="B8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0" s="22" t="str" cm="1">
        <f t="array" aca="1" ref="C8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A830, "'!C:C")),"NOK"))&gt;0, "NOK", "Pending....")),"")</f>
        <v/>
      </c>
      <c r="D830" s="24"/>
      <c r="E830" s="24"/>
      <c r="F830" s="24"/>
      <c r="G830" s="29"/>
      <c r="H830" s="24"/>
    </row>
    <row r="831" spans="2:8" x14ac:dyDescent="0.25">
      <c r="B831" s="21" t="str" cm="1">
        <f t="array" aca="1" ref="B8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1" s="22" t="str" cm="1">
        <f t="array" aca="1" ref="C8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A831, "'!C:C")),"NOK"))&gt;0, "NOK", "Pending....")),"")</f>
        <v/>
      </c>
      <c r="D831" s="24"/>
      <c r="E831" s="24"/>
      <c r="F831" s="24"/>
      <c r="G831" s="29"/>
      <c r="H831" s="24"/>
    </row>
    <row r="832" spans="2:8" x14ac:dyDescent="0.25">
      <c r="B832" s="21" t="str" cm="1">
        <f t="array" aca="1" ref="B8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2" s="22" t="str" cm="1">
        <f t="array" aca="1" ref="C8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A832, "'!C:C")),"NOK"))&gt;0, "NOK", "Pending....")),"")</f>
        <v/>
      </c>
      <c r="D832" s="24"/>
      <c r="E832" s="24"/>
      <c r="F832" s="24"/>
      <c r="G832" s="29"/>
      <c r="H832" s="24"/>
    </row>
    <row r="833" spans="2:8" x14ac:dyDescent="0.25">
      <c r="B833" s="21" t="str" cm="1">
        <f t="array" aca="1" ref="B8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3" s="22" t="str" cm="1">
        <f t="array" aca="1" ref="C8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A833, "'!C:C")),"NOK"))&gt;0, "NOK", "Pending....")),"")</f>
        <v/>
      </c>
      <c r="D833" s="24"/>
      <c r="E833" s="24"/>
      <c r="F833" s="24"/>
      <c r="G833" s="29"/>
      <c r="H833" s="24"/>
    </row>
    <row r="834" spans="2:8" x14ac:dyDescent="0.25">
      <c r="B834" s="21" t="str" cm="1">
        <f t="array" aca="1" ref="B8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4" s="22" t="str" cm="1">
        <f t="array" aca="1" ref="C8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A834, "'!C:C")),"NOK"))&gt;0, "NOK", "Pending....")),"")</f>
        <v/>
      </c>
      <c r="D834" s="24"/>
      <c r="E834" s="24"/>
      <c r="F834" s="24"/>
      <c r="G834" s="29"/>
      <c r="H834" s="24"/>
    </row>
    <row r="835" spans="2:8" x14ac:dyDescent="0.25">
      <c r="B835" s="21" t="str" cm="1">
        <f t="array" aca="1" ref="B8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5" s="22" t="str" cm="1">
        <f t="array" aca="1" ref="C8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A835, "'!C:C")),"NOK"))&gt;0, "NOK", "Pending....")),"")</f>
        <v/>
      </c>
      <c r="D835" s="24"/>
      <c r="E835" s="24"/>
      <c r="F835" s="24"/>
      <c r="G835" s="29"/>
      <c r="H835" s="24"/>
    </row>
    <row r="836" spans="2:8" x14ac:dyDescent="0.25">
      <c r="B836" s="21" t="str" cm="1">
        <f t="array" aca="1" ref="B8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6" s="22" t="str" cm="1">
        <f t="array" aca="1" ref="C8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A836, "'!C:C")),"NOK"))&gt;0, "NOK", "Pending....")),"")</f>
        <v/>
      </c>
      <c r="D836" s="24"/>
      <c r="E836" s="24"/>
      <c r="F836" s="24"/>
      <c r="G836" s="29"/>
      <c r="H836" s="24"/>
    </row>
    <row r="837" spans="2:8" x14ac:dyDescent="0.25">
      <c r="B837" s="21" t="str" cm="1">
        <f t="array" aca="1" ref="B8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7" s="22" t="str" cm="1">
        <f t="array" aca="1" ref="C8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A837, "'!C:C")),"NOK"))&gt;0, "NOK", "Pending....")),"")</f>
        <v/>
      </c>
      <c r="D837" s="24"/>
      <c r="E837" s="24"/>
      <c r="F837" s="24"/>
      <c r="G837" s="29"/>
      <c r="H837" s="24"/>
    </row>
    <row r="838" spans="2:8" x14ac:dyDescent="0.25">
      <c r="B838" s="21" t="str" cm="1">
        <f t="array" aca="1" ref="B8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8" s="22" t="str" cm="1">
        <f t="array" aca="1" ref="C8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A838, "'!C:C")),"NOK"))&gt;0, "NOK", "Pending....")),"")</f>
        <v/>
      </c>
      <c r="D838" s="24"/>
      <c r="E838" s="24"/>
      <c r="F838" s="24"/>
      <c r="G838" s="29"/>
      <c r="H838" s="24"/>
    </row>
    <row r="839" spans="2:8" x14ac:dyDescent="0.25">
      <c r="B839" s="21" t="str" cm="1">
        <f t="array" aca="1" ref="B8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39" s="22" t="str" cm="1">
        <f t="array" aca="1" ref="C8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A839, "'!C:C")),"NOK"))&gt;0, "NOK", "Pending....")),"")</f>
        <v/>
      </c>
      <c r="D839" s="24"/>
      <c r="E839" s="24"/>
      <c r="F839" s="24"/>
      <c r="G839" s="29"/>
      <c r="H839" s="24"/>
    </row>
    <row r="840" spans="2:8" x14ac:dyDescent="0.25">
      <c r="B840" s="21" t="str" cm="1">
        <f t="array" aca="1" ref="B8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0" s="22" t="str" cm="1">
        <f t="array" aca="1" ref="C8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A840, "'!C:C")),"NOK"))&gt;0, "NOK", "Pending....")),"")</f>
        <v/>
      </c>
      <c r="D840" s="24"/>
      <c r="E840" s="24"/>
      <c r="F840" s="24"/>
      <c r="G840" s="29"/>
      <c r="H840" s="24"/>
    </row>
    <row r="841" spans="2:8" x14ac:dyDescent="0.25">
      <c r="B841" s="21" t="str" cm="1">
        <f t="array" aca="1" ref="B8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1" s="22" t="str" cm="1">
        <f t="array" aca="1" ref="C8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A841, "'!C:C")),"NOK"))&gt;0, "NOK", "Pending....")),"")</f>
        <v/>
      </c>
      <c r="D841" s="24"/>
      <c r="E841" s="24"/>
      <c r="F841" s="24"/>
      <c r="G841" s="29"/>
      <c r="H841" s="24"/>
    </row>
    <row r="842" spans="2:8" x14ac:dyDescent="0.25">
      <c r="B842" s="21" t="str" cm="1">
        <f t="array" aca="1" ref="B8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2" s="22" t="str" cm="1">
        <f t="array" aca="1" ref="C8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A842, "'!C:C")),"NOK"))&gt;0, "NOK", "Pending....")),"")</f>
        <v/>
      </c>
      <c r="D842" s="24"/>
      <c r="E842" s="24"/>
      <c r="F842" s="24"/>
      <c r="G842" s="29"/>
      <c r="H842" s="24"/>
    </row>
    <row r="843" spans="2:8" x14ac:dyDescent="0.25">
      <c r="B843" s="21" t="str" cm="1">
        <f t="array" aca="1" ref="B8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3" s="22" t="str" cm="1">
        <f t="array" aca="1" ref="C8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A843, "'!C:C")),"NOK"))&gt;0, "NOK", "Pending....")),"")</f>
        <v/>
      </c>
      <c r="D843" s="24"/>
      <c r="E843" s="24"/>
      <c r="F843" s="24"/>
      <c r="G843" s="29"/>
      <c r="H843" s="24"/>
    </row>
    <row r="844" spans="2:8" x14ac:dyDescent="0.25">
      <c r="B844" s="21" t="str" cm="1">
        <f t="array" aca="1" ref="B8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4" s="22" t="str" cm="1">
        <f t="array" aca="1" ref="C8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A844, "'!C:C")),"NOK"))&gt;0, "NOK", "Pending....")),"")</f>
        <v/>
      </c>
      <c r="D844" s="24"/>
      <c r="E844" s="24"/>
      <c r="F844" s="24"/>
      <c r="G844" s="29"/>
      <c r="H844" s="24"/>
    </row>
    <row r="845" spans="2:8" x14ac:dyDescent="0.25">
      <c r="B845" s="21" t="str" cm="1">
        <f t="array" aca="1" ref="B8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5" s="22" t="str" cm="1">
        <f t="array" aca="1" ref="C8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A845, "'!C:C")),"NOK"))&gt;0, "NOK", "Pending....")),"")</f>
        <v/>
      </c>
      <c r="D845" s="24"/>
      <c r="E845" s="24"/>
      <c r="F845" s="24"/>
      <c r="G845" s="29"/>
      <c r="H845" s="24"/>
    </row>
    <row r="846" spans="2:8" x14ac:dyDescent="0.25">
      <c r="B846" s="21" t="str" cm="1">
        <f t="array" aca="1" ref="B8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6" s="22" t="str" cm="1">
        <f t="array" aca="1" ref="C8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A846, "'!C:C")),"NOK"))&gt;0, "NOK", "Pending....")),"")</f>
        <v/>
      </c>
      <c r="D846" s="24"/>
      <c r="E846" s="24"/>
      <c r="F846" s="24"/>
      <c r="G846" s="29"/>
      <c r="H846" s="24"/>
    </row>
    <row r="847" spans="2:8" x14ac:dyDescent="0.25">
      <c r="B847" s="21" t="str" cm="1">
        <f t="array" aca="1" ref="B8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7" s="22" t="str" cm="1">
        <f t="array" aca="1" ref="C8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A847, "'!C:C")),"NOK"))&gt;0, "NOK", "Pending....")),"")</f>
        <v/>
      </c>
      <c r="D847" s="24"/>
      <c r="E847" s="24"/>
      <c r="F847" s="24"/>
      <c r="G847" s="29"/>
      <c r="H847" s="24"/>
    </row>
    <row r="848" spans="2:8" x14ac:dyDescent="0.25">
      <c r="B848" s="21" t="str" cm="1">
        <f t="array" aca="1" ref="B8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8" s="22" t="str" cm="1">
        <f t="array" aca="1" ref="C8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A848, "'!C:C")),"NOK"))&gt;0, "NOK", "Pending....")),"")</f>
        <v/>
      </c>
      <c r="D848" s="24"/>
      <c r="E848" s="24"/>
      <c r="F848" s="24"/>
      <c r="G848" s="29"/>
      <c r="H848" s="24"/>
    </row>
    <row r="849" spans="2:8" x14ac:dyDescent="0.25">
      <c r="B849" s="21" t="str" cm="1">
        <f t="array" aca="1" ref="B8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49" s="22" t="str" cm="1">
        <f t="array" aca="1" ref="C8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A849, "'!C:C")),"NOK"))&gt;0, "NOK", "Pending....")),"")</f>
        <v/>
      </c>
      <c r="D849" s="24"/>
      <c r="E849" s="24"/>
      <c r="F849" s="24"/>
      <c r="G849" s="29"/>
      <c r="H849" s="24"/>
    </row>
    <row r="850" spans="2:8" x14ac:dyDescent="0.25">
      <c r="B850" s="21" t="str" cm="1">
        <f t="array" aca="1" ref="B8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0" s="22" t="str" cm="1">
        <f t="array" aca="1" ref="C8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A850, "'!C:C")),"NOK"))&gt;0, "NOK", "Pending....")),"")</f>
        <v/>
      </c>
      <c r="D850" s="24"/>
      <c r="E850" s="24"/>
      <c r="F850" s="24"/>
      <c r="G850" s="29"/>
      <c r="H850" s="24"/>
    </row>
    <row r="851" spans="2:8" x14ac:dyDescent="0.25">
      <c r="B851" s="21" t="str" cm="1">
        <f t="array" aca="1" ref="B8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1" s="22" t="str" cm="1">
        <f t="array" aca="1" ref="C8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A851, "'!C:C")),"NOK"))&gt;0, "NOK", "Pending....")),"")</f>
        <v/>
      </c>
      <c r="D851" s="24"/>
      <c r="E851" s="24"/>
      <c r="F851" s="24"/>
      <c r="G851" s="29"/>
      <c r="H851" s="24"/>
    </row>
    <row r="852" spans="2:8" x14ac:dyDescent="0.25">
      <c r="B852" s="21" t="str" cm="1">
        <f t="array" aca="1" ref="B8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2" s="22" t="str" cm="1">
        <f t="array" aca="1" ref="C8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A852, "'!C:C")),"NOK"))&gt;0, "NOK", "Pending....")),"")</f>
        <v/>
      </c>
      <c r="D852" s="24"/>
      <c r="E852" s="24"/>
      <c r="F852" s="24"/>
      <c r="G852" s="29"/>
      <c r="H852" s="24"/>
    </row>
    <row r="853" spans="2:8" x14ac:dyDescent="0.25">
      <c r="B853" s="21" t="str" cm="1">
        <f t="array" aca="1" ref="B8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3" s="22" t="str" cm="1">
        <f t="array" aca="1" ref="C8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A853, "'!C:C")),"NOK"))&gt;0, "NOK", "Pending....")),"")</f>
        <v/>
      </c>
      <c r="D853" s="24"/>
      <c r="E853" s="24"/>
      <c r="F853" s="24"/>
      <c r="G853" s="29"/>
      <c r="H853" s="24"/>
    </row>
    <row r="854" spans="2:8" x14ac:dyDescent="0.25">
      <c r="B854" s="21" t="str" cm="1">
        <f t="array" aca="1" ref="B8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4" s="22" t="str" cm="1">
        <f t="array" aca="1" ref="C8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A854, "'!C:C")),"NOK"))&gt;0, "NOK", "Pending....")),"")</f>
        <v/>
      </c>
      <c r="D854" s="24"/>
      <c r="E854" s="24"/>
      <c r="F854" s="24"/>
      <c r="G854" s="29"/>
      <c r="H854" s="24"/>
    </row>
    <row r="855" spans="2:8" x14ac:dyDescent="0.25">
      <c r="B855" s="21" t="str" cm="1">
        <f t="array" aca="1" ref="B8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5" s="22" t="str" cm="1">
        <f t="array" aca="1" ref="C8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A855, "'!C:C")),"NOK"))&gt;0, "NOK", "Pending....")),"")</f>
        <v/>
      </c>
      <c r="D855" s="24"/>
      <c r="E855" s="24"/>
      <c r="F855" s="24"/>
      <c r="G855" s="29"/>
      <c r="H855" s="24"/>
    </row>
    <row r="856" spans="2:8" x14ac:dyDescent="0.25">
      <c r="B856" s="21" t="str" cm="1">
        <f t="array" aca="1" ref="B8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6" s="22" t="str" cm="1">
        <f t="array" aca="1" ref="C8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A856, "'!C:C")),"NOK"))&gt;0, "NOK", "Pending....")),"")</f>
        <v/>
      </c>
      <c r="D856" s="24"/>
      <c r="E856" s="24"/>
      <c r="F856" s="24"/>
      <c r="G856" s="29"/>
      <c r="H856" s="24"/>
    </row>
    <row r="857" spans="2:8" x14ac:dyDescent="0.25">
      <c r="B857" s="21" t="str" cm="1">
        <f t="array" aca="1" ref="B8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7" s="22" t="str" cm="1">
        <f t="array" aca="1" ref="C8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A857, "'!C:C")),"NOK"))&gt;0, "NOK", "Pending....")),"")</f>
        <v/>
      </c>
      <c r="D857" s="24"/>
      <c r="E857" s="24"/>
      <c r="F857" s="24"/>
      <c r="G857" s="29"/>
      <c r="H857" s="24"/>
    </row>
    <row r="858" spans="2:8" x14ac:dyDescent="0.25">
      <c r="B858" s="21" t="str" cm="1">
        <f t="array" aca="1" ref="B8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8" s="22" t="str" cm="1">
        <f t="array" aca="1" ref="C8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A858, "'!C:C")),"NOK"))&gt;0, "NOK", "Pending....")),"")</f>
        <v/>
      </c>
      <c r="D858" s="24"/>
      <c r="E858" s="24"/>
      <c r="F858" s="24"/>
      <c r="G858" s="29"/>
      <c r="H858" s="24"/>
    </row>
    <row r="859" spans="2:8" x14ac:dyDescent="0.25">
      <c r="B859" s="21" t="str" cm="1">
        <f t="array" aca="1" ref="B8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59" s="22" t="str" cm="1">
        <f t="array" aca="1" ref="C8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A859, "'!C:C")),"NOK"))&gt;0, "NOK", "Pending....")),"")</f>
        <v/>
      </c>
      <c r="D859" s="24"/>
      <c r="E859" s="24"/>
      <c r="F859" s="24"/>
      <c r="G859" s="29"/>
      <c r="H859" s="24"/>
    </row>
    <row r="860" spans="2:8" x14ac:dyDescent="0.25">
      <c r="B860" s="21" t="str" cm="1">
        <f t="array" aca="1" ref="B8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0" s="22" t="str" cm="1">
        <f t="array" aca="1" ref="C8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A860, "'!C:C")),"NOK"))&gt;0, "NOK", "Pending....")),"")</f>
        <v/>
      </c>
      <c r="D860" s="24"/>
      <c r="E860" s="24"/>
      <c r="F860" s="24"/>
      <c r="G860" s="29"/>
      <c r="H860" s="24"/>
    </row>
    <row r="861" spans="2:8" x14ac:dyDescent="0.25">
      <c r="B861" s="21" t="str" cm="1">
        <f t="array" aca="1" ref="B8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1" s="22" t="str" cm="1">
        <f t="array" aca="1" ref="C8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A861, "'!C:C")),"NOK"))&gt;0, "NOK", "Pending....")),"")</f>
        <v/>
      </c>
      <c r="D861" s="24"/>
      <c r="E861" s="24"/>
      <c r="F861" s="24"/>
      <c r="G861" s="29"/>
      <c r="H861" s="24"/>
    </row>
    <row r="862" spans="2:8" x14ac:dyDescent="0.25">
      <c r="B862" s="21" t="str" cm="1">
        <f t="array" aca="1" ref="B8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2" s="22" t="str" cm="1">
        <f t="array" aca="1" ref="C8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A862, "'!C:C")),"NOK"))&gt;0, "NOK", "Pending....")),"")</f>
        <v/>
      </c>
      <c r="D862" s="24"/>
      <c r="E862" s="24"/>
      <c r="F862" s="24"/>
      <c r="G862" s="29"/>
      <c r="H862" s="24"/>
    </row>
    <row r="863" spans="2:8" x14ac:dyDescent="0.25">
      <c r="B863" s="21" t="str" cm="1">
        <f t="array" aca="1" ref="B8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3" s="22" t="str" cm="1">
        <f t="array" aca="1" ref="C8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A863, "'!C:C")),"NOK"))&gt;0, "NOK", "Pending....")),"")</f>
        <v/>
      </c>
      <c r="D863" s="24"/>
      <c r="E863" s="24"/>
      <c r="F863" s="24"/>
      <c r="G863" s="29"/>
      <c r="H863" s="24"/>
    </row>
    <row r="864" spans="2:8" x14ac:dyDescent="0.25">
      <c r="B864" s="21" t="str" cm="1">
        <f t="array" aca="1" ref="B8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4" s="22" t="str" cm="1">
        <f t="array" aca="1" ref="C8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A864, "'!C:C")),"NOK"))&gt;0, "NOK", "Pending....")),"")</f>
        <v/>
      </c>
      <c r="D864" s="24"/>
      <c r="E864" s="24"/>
      <c r="F864" s="24"/>
      <c r="G864" s="29"/>
      <c r="H864" s="24"/>
    </row>
    <row r="865" spans="2:8" x14ac:dyDescent="0.25">
      <c r="B865" s="21" t="str" cm="1">
        <f t="array" aca="1" ref="B8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5" s="22" t="str" cm="1">
        <f t="array" aca="1" ref="C8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A865, "'!C:C")),"NOK"))&gt;0, "NOK", "Pending....")),"")</f>
        <v/>
      </c>
      <c r="D865" s="24"/>
      <c r="E865" s="24"/>
      <c r="F865" s="24"/>
      <c r="G865" s="29"/>
      <c r="H865" s="24"/>
    </row>
    <row r="866" spans="2:8" x14ac:dyDescent="0.25">
      <c r="B866" s="21" t="str" cm="1">
        <f t="array" aca="1" ref="B8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6" s="22" t="str" cm="1">
        <f t="array" aca="1" ref="C8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A866, "'!C:C")),"NOK"))&gt;0, "NOK", "Pending....")),"")</f>
        <v/>
      </c>
      <c r="D866" s="24"/>
      <c r="E866" s="24"/>
      <c r="F866" s="24"/>
      <c r="G866" s="29"/>
      <c r="H866" s="24"/>
    </row>
    <row r="867" spans="2:8" x14ac:dyDescent="0.25">
      <c r="B867" s="21" t="str" cm="1">
        <f t="array" aca="1" ref="B8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7" s="22" t="str" cm="1">
        <f t="array" aca="1" ref="C8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A867, "'!C:C")),"NOK"))&gt;0, "NOK", "Pending....")),"")</f>
        <v/>
      </c>
      <c r="D867" s="24"/>
      <c r="E867" s="24"/>
      <c r="F867" s="24"/>
      <c r="G867" s="29"/>
      <c r="H867" s="24"/>
    </row>
    <row r="868" spans="2:8" x14ac:dyDescent="0.25">
      <c r="B868" s="21" t="str" cm="1">
        <f t="array" aca="1" ref="B8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8" s="22" t="str" cm="1">
        <f t="array" aca="1" ref="C8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A868, "'!C:C")),"NOK"))&gt;0, "NOK", "Pending....")),"")</f>
        <v/>
      </c>
      <c r="D868" s="24"/>
      <c r="E868" s="24"/>
      <c r="F868" s="24"/>
      <c r="G868" s="29"/>
      <c r="H868" s="24"/>
    </row>
    <row r="869" spans="2:8" x14ac:dyDescent="0.25">
      <c r="B869" s="21" t="str" cm="1">
        <f t="array" aca="1" ref="B8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69" s="22" t="str" cm="1">
        <f t="array" aca="1" ref="C8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A869, "'!C:C")),"NOK"))&gt;0, "NOK", "Pending....")),"")</f>
        <v/>
      </c>
      <c r="D869" s="24"/>
      <c r="E869" s="24"/>
      <c r="F869" s="24"/>
      <c r="G869" s="29"/>
      <c r="H869" s="24"/>
    </row>
    <row r="870" spans="2:8" x14ac:dyDescent="0.25">
      <c r="B870" s="21" t="str" cm="1">
        <f t="array" aca="1" ref="B8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0" s="22" t="str" cm="1">
        <f t="array" aca="1" ref="C8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A870, "'!C:C")),"NOK"))&gt;0, "NOK", "Pending....")),"")</f>
        <v/>
      </c>
      <c r="D870" s="24"/>
      <c r="E870" s="24"/>
      <c r="F870" s="24"/>
      <c r="G870" s="29"/>
      <c r="H870" s="24"/>
    </row>
    <row r="871" spans="2:8" x14ac:dyDescent="0.25">
      <c r="B871" s="21" t="str" cm="1">
        <f t="array" aca="1" ref="B8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1" s="22" t="str" cm="1">
        <f t="array" aca="1" ref="C8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A871, "'!C:C")),"NOK"))&gt;0, "NOK", "Pending....")),"")</f>
        <v/>
      </c>
      <c r="D871" s="24"/>
      <c r="E871" s="24"/>
      <c r="F871" s="24"/>
      <c r="G871" s="29"/>
      <c r="H871" s="24"/>
    </row>
    <row r="872" spans="2:8" x14ac:dyDescent="0.25">
      <c r="B872" s="21" t="str" cm="1">
        <f t="array" aca="1" ref="B8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2" s="22" t="str" cm="1">
        <f t="array" aca="1" ref="C8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A872, "'!C:C")),"NOK"))&gt;0, "NOK", "Pending....")),"")</f>
        <v/>
      </c>
      <c r="D872" s="24"/>
      <c r="E872" s="24"/>
      <c r="F872" s="24"/>
      <c r="G872" s="29"/>
      <c r="H872" s="24"/>
    </row>
    <row r="873" spans="2:8" x14ac:dyDescent="0.25">
      <c r="B873" s="21" t="str" cm="1">
        <f t="array" aca="1" ref="B8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3" s="22" t="str" cm="1">
        <f t="array" aca="1" ref="C8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A873, "'!C:C")),"NOK"))&gt;0, "NOK", "Pending....")),"")</f>
        <v/>
      </c>
      <c r="D873" s="24"/>
      <c r="E873" s="24"/>
      <c r="F873" s="24"/>
      <c r="G873" s="29"/>
      <c r="H873" s="24"/>
    </row>
    <row r="874" spans="2:8" x14ac:dyDescent="0.25">
      <c r="B874" s="21" t="str" cm="1">
        <f t="array" aca="1" ref="B8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4" s="22" t="str" cm="1">
        <f t="array" aca="1" ref="C8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A874, "'!C:C")),"NOK"))&gt;0, "NOK", "Pending....")),"")</f>
        <v/>
      </c>
      <c r="D874" s="24"/>
      <c r="E874" s="24"/>
      <c r="F874" s="24"/>
      <c r="G874" s="29"/>
      <c r="H874" s="24"/>
    </row>
    <row r="875" spans="2:8" x14ac:dyDescent="0.25">
      <c r="B875" s="21" t="str" cm="1">
        <f t="array" aca="1" ref="B8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5" s="22" t="str" cm="1">
        <f t="array" aca="1" ref="C8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A875, "'!C:C")),"NOK"))&gt;0, "NOK", "Pending....")),"")</f>
        <v/>
      </c>
      <c r="D875" s="24"/>
      <c r="E875" s="24"/>
      <c r="F875" s="24"/>
      <c r="G875" s="29"/>
      <c r="H875" s="24"/>
    </row>
    <row r="876" spans="2:8" x14ac:dyDescent="0.25">
      <c r="B876" s="21" t="str" cm="1">
        <f t="array" aca="1" ref="B8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6" s="22" t="str" cm="1">
        <f t="array" aca="1" ref="C8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A876, "'!C:C")),"NOK"))&gt;0, "NOK", "Pending....")),"")</f>
        <v/>
      </c>
      <c r="D876" s="24"/>
      <c r="E876" s="24"/>
      <c r="F876" s="24"/>
      <c r="G876" s="29"/>
      <c r="H876" s="24"/>
    </row>
    <row r="877" spans="2:8" x14ac:dyDescent="0.25">
      <c r="B877" s="21" t="str" cm="1">
        <f t="array" aca="1" ref="B8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7" s="22" t="str" cm="1">
        <f t="array" aca="1" ref="C8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A877, "'!C:C")),"NOK"))&gt;0, "NOK", "Pending....")),"")</f>
        <v/>
      </c>
      <c r="D877" s="24"/>
      <c r="E877" s="24"/>
      <c r="F877" s="24"/>
      <c r="G877" s="29"/>
      <c r="H877" s="24"/>
    </row>
    <row r="878" spans="2:8" x14ac:dyDescent="0.25">
      <c r="B878" s="21" t="str" cm="1">
        <f t="array" aca="1" ref="B8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8" s="22" t="str" cm="1">
        <f t="array" aca="1" ref="C8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A878, "'!C:C")),"NOK"))&gt;0, "NOK", "Pending....")),"")</f>
        <v/>
      </c>
      <c r="D878" s="24"/>
      <c r="E878" s="24"/>
      <c r="F878" s="24"/>
      <c r="G878" s="29"/>
      <c r="H878" s="24"/>
    </row>
    <row r="879" spans="2:8" x14ac:dyDescent="0.25">
      <c r="B879" s="21" t="str" cm="1">
        <f t="array" aca="1" ref="B8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79" s="22" t="str" cm="1">
        <f t="array" aca="1" ref="C8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A879, "'!C:C")),"NOK"))&gt;0, "NOK", "Pending....")),"")</f>
        <v/>
      </c>
      <c r="D879" s="24"/>
      <c r="E879" s="24"/>
      <c r="F879" s="24"/>
      <c r="G879" s="29"/>
      <c r="H879" s="24"/>
    </row>
    <row r="880" spans="2:8" x14ac:dyDescent="0.25">
      <c r="B880" s="21" t="str" cm="1">
        <f t="array" aca="1" ref="B8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0" s="22" t="str" cm="1">
        <f t="array" aca="1" ref="C8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A880, "'!C:C")),"NOK"))&gt;0, "NOK", "Pending....")),"")</f>
        <v/>
      </c>
      <c r="D880" s="24"/>
      <c r="E880" s="24"/>
      <c r="F880" s="24"/>
      <c r="G880" s="29"/>
      <c r="H880" s="24"/>
    </row>
    <row r="881" spans="2:8" x14ac:dyDescent="0.25">
      <c r="B881" s="21" t="str" cm="1">
        <f t="array" aca="1" ref="B8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1" s="22" t="str" cm="1">
        <f t="array" aca="1" ref="C8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A881, "'!C:C")),"NOK"))&gt;0, "NOK", "Pending....")),"")</f>
        <v/>
      </c>
      <c r="D881" s="24"/>
      <c r="E881" s="24"/>
      <c r="F881" s="24"/>
      <c r="G881" s="29"/>
      <c r="H881" s="24"/>
    </row>
    <row r="882" spans="2:8" x14ac:dyDescent="0.25">
      <c r="B882" s="21" t="str" cm="1">
        <f t="array" aca="1" ref="B8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2" s="22" t="str" cm="1">
        <f t="array" aca="1" ref="C8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A882, "'!C:C")),"NOK"))&gt;0, "NOK", "Pending....")),"")</f>
        <v/>
      </c>
      <c r="D882" s="24"/>
      <c r="E882" s="24"/>
      <c r="F882" s="24"/>
      <c r="G882" s="29"/>
      <c r="H882" s="24"/>
    </row>
    <row r="883" spans="2:8" x14ac:dyDescent="0.25">
      <c r="B883" s="21" t="str" cm="1">
        <f t="array" aca="1" ref="B8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3" s="22" t="str" cm="1">
        <f t="array" aca="1" ref="C8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A883, "'!C:C")),"NOK"))&gt;0, "NOK", "Pending....")),"")</f>
        <v/>
      </c>
      <c r="D883" s="24"/>
      <c r="E883" s="24"/>
      <c r="F883" s="24"/>
      <c r="G883" s="29"/>
      <c r="H883" s="24"/>
    </row>
    <row r="884" spans="2:8" x14ac:dyDescent="0.25">
      <c r="B884" s="21" t="str" cm="1">
        <f t="array" aca="1" ref="B8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4" s="22" t="str" cm="1">
        <f t="array" aca="1" ref="C8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A884, "'!C:C")),"NOK"))&gt;0, "NOK", "Pending....")),"")</f>
        <v/>
      </c>
      <c r="D884" s="24"/>
      <c r="E884" s="24"/>
      <c r="F884" s="24"/>
      <c r="G884" s="29"/>
      <c r="H884" s="24"/>
    </row>
    <row r="885" spans="2:8" x14ac:dyDescent="0.25">
      <c r="B885" s="21" t="str" cm="1">
        <f t="array" aca="1" ref="B8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5" s="22" t="str" cm="1">
        <f t="array" aca="1" ref="C8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A885, "'!C:C")),"NOK"))&gt;0, "NOK", "Pending....")),"")</f>
        <v/>
      </c>
      <c r="D885" s="24"/>
      <c r="E885" s="24"/>
      <c r="F885" s="24"/>
      <c r="G885" s="29"/>
      <c r="H885" s="24"/>
    </row>
    <row r="886" spans="2:8" x14ac:dyDescent="0.25">
      <c r="B886" s="21" t="str" cm="1">
        <f t="array" aca="1" ref="B8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6" s="22" t="str" cm="1">
        <f t="array" aca="1" ref="C8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A886, "'!C:C")),"NOK"))&gt;0, "NOK", "Pending....")),"")</f>
        <v/>
      </c>
      <c r="D886" s="24"/>
      <c r="E886" s="24"/>
      <c r="F886" s="24"/>
      <c r="G886" s="29"/>
      <c r="H886" s="24"/>
    </row>
    <row r="887" spans="2:8" x14ac:dyDescent="0.25">
      <c r="B887" s="21" t="str" cm="1">
        <f t="array" aca="1" ref="B8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7" s="22" t="str" cm="1">
        <f t="array" aca="1" ref="C8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A887, "'!C:C")),"NOK"))&gt;0, "NOK", "Pending....")),"")</f>
        <v/>
      </c>
      <c r="D887" s="24"/>
      <c r="E887" s="24"/>
      <c r="F887" s="24"/>
      <c r="G887" s="29"/>
      <c r="H887" s="24"/>
    </row>
    <row r="888" spans="2:8" x14ac:dyDescent="0.25">
      <c r="B888" s="21" t="str" cm="1">
        <f t="array" aca="1" ref="B8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8" s="22" t="str" cm="1">
        <f t="array" aca="1" ref="C8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A888, "'!C:C")),"NOK"))&gt;0, "NOK", "Pending....")),"")</f>
        <v/>
      </c>
      <c r="D888" s="24"/>
      <c r="E888" s="24"/>
      <c r="F888" s="24"/>
      <c r="G888" s="29"/>
      <c r="H888" s="24"/>
    </row>
    <row r="889" spans="2:8" x14ac:dyDescent="0.25">
      <c r="B889" s="21" t="str" cm="1">
        <f t="array" aca="1" ref="B8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89" s="22" t="str" cm="1">
        <f t="array" aca="1" ref="C8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A889, "'!C:C")),"NOK"))&gt;0, "NOK", "Pending....")),"")</f>
        <v/>
      </c>
      <c r="D889" s="24"/>
      <c r="E889" s="24"/>
      <c r="F889" s="24"/>
      <c r="G889" s="29"/>
      <c r="H889" s="24"/>
    </row>
    <row r="890" spans="2:8" x14ac:dyDescent="0.25">
      <c r="B890" s="21" t="str" cm="1">
        <f t="array" aca="1" ref="B8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0" s="22" t="str" cm="1">
        <f t="array" aca="1" ref="C8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A890, "'!C:C")),"NOK"))&gt;0, "NOK", "Pending....")),"")</f>
        <v/>
      </c>
      <c r="D890" s="24"/>
      <c r="E890" s="24"/>
      <c r="F890" s="24"/>
      <c r="G890" s="29"/>
      <c r="H890" s="24"/>
    </row>
    <row r="891" spans="2:8" x14ac:dyDescent="0.25">
      <c r="B891" s="21" t="str" cm="1">
        <f t="array" aca="1" ref="B8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1" s="22" t="str" cm="1">
        <f t="array" aca="1" ref="C8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A891, "'!C:C")),"NOK"))&gt;0, "NOK", "Pending....")),"")</f>
        <v/>
      </c>
      <c r="D891" s="24"/>
      <c r="E891" s="24"/>
      <c r="F891" s="24"/>
      <c r="G891" s="29"/>
      <c r="H891" s="24"/>
    </row>
    <row r="892" spans="2:8" x14ac:dyDescent="0.25">
      <c r="B892" s="21" t="str" cm="1">
        <f t="array" aca="1" ref="B8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2" s="22" t="str" cm="1">
        <f t="array" aca="1" ref="C8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A892, "'!C:C")),"NOK"))&gt;0, "NOK", "Pending....")),"")</f>
        <v/>
      </c>
      <c r="D892" s="24"/>
      <c r="E892" s="24"/>
      <c r="F892" s="24"/>
      <c r="G892" s="29"/>
      <c r="H892" s="24"/>
    </row>
    <row r="893" spans="2:8" x14ac:dyDescent="0.25">
      <c r="B893" s="21" t="str" cm="1">
        <f t="array" aca="1" ref="B8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3" s="22" t="str" cm="1">
        <f t="array" aca="1" ref="C8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A893, "'!C:C")),"NOK"))&gt;0, "NOK", "Pending....")),"")</f>
        <v/>
      </c>
      <c r="D893" s="24"/>
      <c r="E893" s="24"/>
      <c r="F893" s="24"/>
      <c r="G893" s="29"/>
      <c r="H893" s="24"/>
    </row>
    <row r="894" spans="2:8" x14ac:dyDescent="0.25">
      <c r="B894" s="21" t="str" cm="1">
        <f t="array" aca="1" ref="B8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4" s="22" t="str" cm="1">
        <f t="array" aca="1" ref="C8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A894, "'!C:C")),"NOK"))&gt;0, "NOK", "Pending....")),"")</f>
        <v/>
      </c>
      <c r="D894" s="24"/>
      <c r="E894" s="24"/>
      <c r="F894" s="24"/>
      <c r="G894" s="29"/>
      <c r="H894" s="24"/>
    </row>
    <row r="895" spans="2:8" x14ac:dyDescent="0.25">
      <c r="B895" s="21" t="str" cm="1">
        <f t="array" aca="1" ref="B8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5" s="22" t="str" cm="1">
        <f t="array" aca="1" ref="C8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A895, "'!C:C")),"NOK"))&gt;0, "NOK", "Pending....")),"")</f>
        <v/>
      </c>
      <c r="D895" s="24"/>
      <c r="E895" s="24"/>
      <c r="F895" s="24"/>
      <c r="G895" s="29"/>
      <c r="H895" s="24"/>
    </row>
    <row r="896" spans="2:8" x14ac:dyDescent="0.25">
      <c r="B896" s="21" t="str" cm="1">
        <f t="array" aca="1" ref="B8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6" s="22" t="str" cm="1">
        <f t="array" aca="1" ref="C8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A896, "'!C:C")),"NOK"))&gt;0, "NOK", "Pending....")),"")</f>
        <v/>
      </c>
      <c r="D896" s="24"/>
      <c r="E896" s="24"/>
      <c r="F896" s="24"/>
      <c r="G896" s="29"/>
      <c r="H896" s="24"/>
    </row>
    <row r="897" spans="2:8" x14ac:dyDescent="0.25">
      <c r="B897" s="21" t="str" cm="1">
        <f t="array" aca="1" ref="B8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7" s="22" t="str" cm="1">
        <f t="array" aca="1" ref="C8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A897, "'!C:C")),"NOK"))&gt;0, "NOK", "Pending....")),"")</f>
        <v/>
      </c>
      <c r="D897" s="24"/>
      <c r="E897" s="24"/>
      <c r="F897" s="24"/>
      <c r="G897" s="29"/>
      <c r="H897" s="24"/>
    </row>
    <row r="898" spans="2:8" x14ac:dyDescent="0.25">
      <c r="B898" s="21" t="str" cm="1">
        <f t="array" aca="1" ref="B8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8" s="22" t="str" cm="1">
        <f t="array" aca="1" ref="C8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A898, "'!C:C")),"NOK"))&gt;0, "NOK", "Pending....")),"")</f>
        <v/>
      </c>
      <c r="D898" s="24"/>
      <c r="E898" s="24"/>
      <c r="F898" s="24"/>
      <c r="G898" s="29"/>
      <c r="H898" s="24"/>
    </row>
    <row r="899" spans="2:8" x14ac:dyDescent="0.25">
      <c r="B899" s="21" t="str" cm="1">
        <f t="array" aca="1" ref="B8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899" s="22" t="str" cm="1">
        <f t="array" aca="1" ref="C8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A899, "'!C:C")),"NOK"))&gt;0, "NOK", "Pending....")),"")</f>
        <v/>
      </c>
      <c r="D899" s="24"/>
      <c r="E899" s="24"/>
      <c r="F899" s="24"/>
      <c r="G899" s="29"/>
      <c r="H899" s="24"/>
    </row>
    <row r="900" spans="2:8" x14ac:dyDescent="0.25">
      <c r="B900" s="21" t="str" cm="1">
        <f t="array" aca="1" ref="B9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0" s="22" t="str" cm="1">
        <f t="array" aca="1" ref="C9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A900, "'!C:C")),"NOK"))&gt;0, "NOK", "Pending....")),"")</f>
        <v/>
      </c>
      <c r="D900" s="24"/>
      <c r="E900" s="24"/>
      <c r="F900" s="24"/>
      <c r="G900" s="29"/>
      <c r="H900" s="24"/>
    </row>
    <row r="901" spans="2:8" x14ac:dyDescent="0.25">
      <c r="B901" s="21" t="str" cm="1">
        <f t="array" aca="1" ref="B9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1" s="22" t="str" cm="1">
        <f t="array" aca="1" ref="C9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A901, "'!C:C")),"NOK"))&gt;0, "NOK", "Pending....")),"")</f>
        <v/>
      </c>
      <c r="D901" s="24"/>
      <c r="E901" s="24"/>
      <c r="F901" s="24"/>
      <c r="G901" s="29"/>
      <c r="H901" s="24"/>
    </row>
    <row r="902" spans="2:8" x14ac:dyDescent="0.25">
      <c r="B902" s="21" t="str" cm="1">
        <f t="array" aca="1" ref="B9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2" s="22" t="str" cm="1">
        <f t="array" aca="1" ref="C9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A902, "'!C:C")),"NOK"))&gt;0, "NOK", "Pending....")),"")</f>
        <v/>
      </c>
      <c r="D902" s="24"/>
      <c r="E902" s="24"/>
      <c r="F902" s="24"/>
      <c r="G902" s="29"/>
      <c r="H902" s="24"/>
    </row>
    <row r="903" spans="2:8" x14ac:dyDescent="0.25">
      <c r="B903" s="21" t="str" cm="1">
        <f t="array" aca="1" ref="B9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3" s="22" t="str" cm="1">
        <f t="array" aca="1" ref="C9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A903, "'!C:C")),"NOK"))&gt;0, "NOK", "Pending....")),"")</f>
        <v/>
      </c>
      <c r="D903" s="24"/>
      <c r="E903" s="24"/>
      <c r="F903" s="24"/>
      <c r="G903" s="29"/>
      <c r="H903" s="24"/>
    </row>
    <row r="904" spans="2:8" x14ac:dyDescent="0.25">
      <c r="B904" s="21" t="str" cm="1">
        <f t="array" aca="1" ref="B9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4" s="22" t="str" cm="1">
        <f t="array" aca="1" ref="C9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A904, "'!C:C")),"NOK"))&gt;0, "NOK", "Pending....")),"")</f>
        <v/>
      </c>
      <c r="D904" s="24"/>
      <c r="E904" s="24"/>
      <c r="F904" s="24"/>
      <c r="G904" s="29"/>
      <c r="H904" s="24"/>
    </row>
    <row r="905" spans="2:8" x14ac:dyDescent="0.25">
      <c r="B905" s="21" t="str" cm="1">
        <f t="array" aca="1" ref="B9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5" s="22" t="str" cm="1">
        <f t="array" aca="1" ref="C9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A905, "'!C:C")),"NOK"))&gt;0, "NOK", "Pending....")),"")</f>
        <v/>
      </c>
      <c r="D905" s="24"/>
      <c r="E905" s="24"/>
      <c r="F905" s="24"/>
      <c r="G905" s="29"/>
      <c r="H905" s="24"/>
    </row>
    <row r="906" spans="2:8" x14ac:dyDescent="0.25">
      <c r="B906" s="21" t="str" cm="1">
        <f t="array" aca="1" ref="B9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6" s="22" t="str" cm="1">
        <f t="array" aca="1" ref="C9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A906, "'!C:C")),"NOK"))&gt;0, "NOK", "Pending....")),"")</f>
        <v/>
      </c>
      <c r="D906" s="24"/>
      <c r="E906" s="24"/>
      <c r="F906" s="24"/>
      <c r="G906" s="29"/>
      <c r="H906" s="24"/>
    </row>
    <row r="907" spans="2:8" x14ac:dyDescent="0.25">
      <c r="B907" s="21" t="str" cm="1">
        <f t="array" aca="1" ref="B9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7" s="22" t="str" cm="1">
        <f t="array" aca="1" ref="C9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A907, "'!C:C")),"NOK"))&gt;0, "NOK", "Pending....")),"")</f>
        <v/>
      </c>
      <c r="D907" s="24"/>
      <c r="E907" s="24"/>
      <c r="F907" s="24"/>
      <c r="G907" s="29"/>
      <c r="H907" s="24"/>
    </row>
    <row r="908" spans="2:8" x14ac:dyDescent="0.25">
      <c r="B908" s="21" t="str" cm="1">
        <f t="array" aca="1" ref="B9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8" s="22" t="str" cm="1">
        <f t="array" aca="1" ref="C9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A908, "'!C:C")),"NOK"))&gt;0, "NOK", "Pending....")),"")</f>
        <v/>
      </c>
      <c r="D908" s="24"/>
      <c r="E908" s="24"/>
      <c r="F908" s="24"/>
      <c r="G908" s="29"/>
      <c r="H908" s="24"/>
    </row>
    <row r="909" spans="2:8" x14ac:dyDescent="0.25">
      <c r="B909" s="21" t="str" cm="1">
        <f t="array" aca="1" ref="B9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09" s="22" t="str" cm="1">
        <f t="array" aca="1" ref="C9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A909, "'!C:C")),"NOK"))&gt;0, "NOK", "Pending....")),"")</f>
        <v/>
      </c>
      <c r="D909" s="24"/>
      <c r="E909" s="24"/>
      <c r="F909" s="24"/>
      <c r="G909" s="29"/>
      <c r="H909" s="24"/>
    </row>
    <row r="910" spans="2:8" x14ac:dyDescent="0.25">
      <c r="B910" s="21" t="str" cm="1">
        <f t="array" aca="1" ref="B9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0" s="22" t="str" cm="1">
        <f t="array" aca="1" ref="C9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A910, "'!C:C")),"NOK"))&gt;0, "NOK", "Pending....")),"")</f>
        <v/>
      </c>
      <c r="D910" s="24"/>
      <c r="E910" s="24"/>
      <c r="F910" s="24"/>
      <c r="G910" s="29"/>
      <c r="H910" s="24"/>
    </row>
    <row r="911" spans="2:8" x14ac:dyDescent="0.25">
      <c r="B911" s="21" t="str" cm="1">
        <f t="array" aca="1" ref="B9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1" s="22" t="str" cm="1">
        <f t="array" aca="1" ref="C9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A911, "'!C:C")),"NOK"))&gt;0, "NOK", "Pending....")),"")</f>
        <v/>
      </c>
      <c r="D911" s="24"/>
      <c r="E911" s="24"/>
      <c r="F911" s="24"/>
      <c r="G911" s="29"/>
      <c r="H911" s="24"/>
    </row>
    <row r="912" spans="2:8" x14ac:dyDescent="0.25">
      <c r="B912" s="21" t="str" cm="1">
        <f t="array" aca="1" ref="B9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2" s="22" t="str" cm="1">
        <f t="array" aca="1" ref="C9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A912, "'!C:C")),"NOK"))&gt;0, "NOK", "Pending....")),"")</f>
        <v/>
      </c>
      <c r="D912" s="24"/>
      <c r="E912" s="24"/>
      <c r="F912" s="24"/>
      <c r="G912" s="29"/>
      <c r="H912" s="24"/>
    </row>
    <row r="913" spans="2:8" x14ac:dyDescent="0.25">
      <c r="B913" s="21" t="str" cm="1">
        <f t="array" aca="1" ref="B9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3" s="22" t="str" cm="1">
        <f t="array" aca="1" ref="C9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A913, "'!C:C")),"NOK"))&gt;0, "NOK", "Pending....")),"")</f>
        <v/>
      </c>
      <c r="D913" s="24"/>
      <c r="E913" s="24"/>
      <c r="F913" s="24"/>
      <c r="G913" s="29"/>
      <c r="H913" s="24"/>
    </row>
    <row r="914" spans="2:8" x14ac:dyDescent="0.25">
      <c r="B914" s="21" t="str" cm="1">
        <f t="array" aca="1" ref="B9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4" s="22" t="str" cm="1">
        <f t="array" aca="1" ref="C9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A914, "'!C:C")),"NOK"))&gt;0, "NOK", "Pending....")),"")</f>
        <v/>
      </c>
      <c r="D914" s="24"/>
      <c r="E914" s="24"/>
      <c r="F914" s="24"/>
      <c r="G914" s="29"/>
      <c r="H914" s="24"/>
    </row>
    <row r="915" spans="2:8" x14ac:dyDescent="0.25">
      <c r="B915" s="21" t="str" cm="1">
        <f t="array" aca="1" ref="B9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5" s="22" t="str" cm="1">
        <f t="array" aca="1" ref="C9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A915, "'!C:C")),"NOK"))&gt;0, "NOK", "Pending....")),"")</f>
        <v/>
      </c>
      <c r="D915" s="24"/>
      <c r="E915" s="24"/>
      <c r="F915" s="24"/>
      <c r="G915" s="29"/>
      <c r="H915" s="24"/>
    </row>
    <row r="916" spans="2:8" x14ac:dyDescent="0.25">
      <c r="B916" s="21" t="str" cm="1">
        <f t="array" aca="1" ref="B9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6" s="22" t="str" cm="1">
        <f t="array" aca="1" ref="C9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A916, "'!C:C")),"NOK"))&gt;0, "NOK", "Pending....")),"")</f>
        <v/>
      </c>
      <c r="D916" s="24"/>
      <c r="E916" s="24"/>
      <c r="F916" s="24"/>
      <c r="G916" s="29"/>
      <c r="H916" s="24"/>
    </row>
    <row r="917" spans="2:8" x14ac:dyDescent="0.25">
      <c r="B917" s="21" t="str" cm="1">
        <f t="array" aca="1" ref="B9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7" s="22" t="str" cm="1">
        <f t="array" aca="1" ref="C9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A917, "'!C:C")),"NOK"))&gt;0, "NOK", "Pending....")),"")</f>
        <v/>
      </c>
      <c r="D917" s="24"/>
      <c r="E917" s="24"/>
      <c r="F917" s="24"/>
      <c r="G917" s="29"/>
      <c r="H917" s="24"/>
    </row>
    <row r="918" spans="2:8" x14ac:dyDescent="0.25">
      <c r="B918" s="21" t="str" cm="1">
        <f t="array" aca="1" ref="B9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8" s="22" t="str" cm="1">
        <f t="array" aca="1" ref="C9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A918, "'!C:C")),"NOK"))&gt;0, "NOK", "Pending....")),"")</f>
        <v/>
      </c>
      <c r="D918" s="24"/>
      <c r="E918" s="24"/>
      <c r="F918" s="24"/>
      <c r="G918" s="29"/>
      <c r="H918" s="24"/>
    </row>
    <row r="919" spans="2:8" x14ac:dyDescent="0.25">
      <c r="B919" s="21" t="str" cm="1">
        <f t="array" aca="1" ref="B9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19" s="22" t="str" cm="1">
        <f t="array" aca="1" ref="C9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A919, "'!C:C")),"NOK"))&gt;0, "NOK", "Pending....")),"")</f>
        <v/>
      </c>
      <c r="D919" s="24"/>
      <c r="E919" s="24"/>
      <c r="F919" s="24"/>
      <c r="G919" s="29"/>
      <c r="H919" s="24"/>
    </row>
    <row r="920" spans="2:8" x14ac:dyDescent="0.25">
      <c r="B920" s="21" t="str" cm="1">
        <f t="array" aca="1" ref="B9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0" s="22" t="str" cm="1">
        <f t="array" aca="1" ref="C9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A920, "'!C:C")),"NOK"))&gt;0, "NOK", "Pending....")),"")</f>
        <v/>
      </c>
      <c r="D920" s="24"/>
      <c r="E920" s="24"/>
      <c r="F920" s="24"/>
      <c r="G920" s="29"/>
      <c r="H920" s="24"/>
    </row>
    <row r="921" spans="2:8" x14ac:dyDescent="0.25">
      <c r="B921" s="21" t="str" cm="1">
        <f t="array" aca="1" ref="B9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1" s="22" t="str" cm="1">
        <f t="array" aca="1" ref="C9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A921, "'!C:C")),"NOK"))&gt;0, "NOK", "Pending....")),"")</f>
        <v/>
      </c>
      <c r="D921" s="24"/>
      <c r="E921" s="24"/>
      <c r="F921" s="24"/>
      <c r="G921" s="29"/>
      <c r="H921" s="24"/>
    </row>
    <row r="922" spans="2:8" x14ac:dyDescent="0.25">
      <c r="B922" s="21" t="str" cm="1">
        <f t="array" aca="1" ref="B9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2" s="22" t="str" cm="1">
        <f t="array" aca="1" ref="C9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A922, "'!C:C")),"NOK"))&gt;0, "NOK", "Pending....")),"")</f>
        <v/>
      </c>
      <c r="D922" s="24"/>
      <c r="E922" s="24"/>
      <c r="F922" s="24"/>
      <c r="G922" s="29"/>
      <c r="H922" s="24"/>
    </row>
    <row r="923" spans="2:8" x14ac:dyDescent="0.25">
      <c r="B923" s="21" t="str" cm="1">
        <f t="array" aca="1" ref="B9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3" s="22" t="str" cm="1">
        <f t="array" aca="1" ref="C9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A923, "'!C:C")),"NOK"))&gt;0, "NOK", "Pending....")),"")</f>
        <v/>
      </c>
      <c r="D923" s="24"/>
      <c r="E923" s="24"/>
      <c r="F923" s="24"/>
      <c r="G923" s="29"/>
      <c r="H923" s="24"/>
    </row>
    <row r="924" spans="2:8" x14ac:dyDescent="0.25">
      <c r="B924" s="21" t="str" cm="1">
        <f t="array" aca="1" ref="B9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4" s="22" t="str" cm="1">
        <f t="array" aca="1" ref="C9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A924, "'!C:C")),"NOK"))&gt;0, "NOK", "Pending....")),"")</f>
        <v/>
      </c>
      <c r="D924" s="24"/>
      <c r="E924" s="24"/>
      <c r="F924" s="24"/>
      <c r="G924" s="29"/>
      <c r="H924" s="24"/>
    </row>
    <row r="925" spans="2:8" x14ac:dyDescent="0.25">
      <c r="B925" s="21" t="str" cm="1">
        <f t="array" aca="1" ref="B9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5" s="22" t="str" cm="1">
        <f t="array" aca="1" ref="C9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A925, "'!C:C")),"NOK"))&gt;0, "NOK", "Pending....")),"")</f>
        <v/>
      </c>
      <c r="D925" s="24"/>
      <c r="E925" s="24"/>
      <c r="F925" s="24"/>
      <c r="G925" s="29"/>
      <c r="H925" s="24"/>
    </row>
    <row r="926" spans="2:8" x14ac:dyDescent="0.25">
      <c r="B926" s="21" t="str" cm="1">
        <f t="array" aca="1" ref="B9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6" s="22" t="str" cm="1">
        <f t="array" aca="1" ref="C9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A926, "'!C:C")),"NOK"))&gt;0, "NOK", "Pending....")),"")</f>
        <v/>
      </c>
      <c r="D926" s="24"/>
      <c r="E926" s="24"/>
      <c r="F926" s="24"/>
      <c r="G926" s="29"/>
      <c r="H926" s="24"/>
    </row>
    <row r="927" spans="2:8" x14ac:dyDescent="0.25">
      <c r="B927" s="21" t="str" cm="1">
        <f t="array" aca="1" ref="B9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7" s="22" t="str" cm="1">
        <f t="array" aca="1" ref="C9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A927, "'!C:C")),"NOK"))&gt;0, "NOK", "Pending....")),"")</f>
        <v/>
      </c>
      <c r="D927" s="24"/>
      <c r="E927" s="24"/>
      <c r="F927" s="24"/>
      <c r="G927" s="29"/>
      <c r="H927" s="24"/>
    </row>
    <row r="928" spans="2:8" x14ac:dyDescent="0.25">
      <c r="B928" s="21" t="str" cm="1">
        <f t="array" aca="1" ref="B9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8" s="22" t="str" cm="1">
        <f t="array" aca="1" ref="C9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A928, "'!C:C")),"NOK"))&gt;0, "NOK", "Pending....")),"")</f>
        <v/>
      </c>
      <c r="D928" s="24"/>
      <c r="E928" s="24"/>
      <c r="F928" s="24"/>
      <c r="G928" s="29"/>
      <c r="H928" s="24"/>
    </row>
    <row r="929" spans="2:8" x14ac:dyDescent="0.25">
      <c r="B929" s="21" t="str" cm="1">
        <f t="array" aca="1" ref="B9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29" s="22" t="str" cm="1">
        <f t="array" aca="1" ref="C9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A929, "'!C:C")),"NOK"))&gt;0, "NOK", "Pending....")),"")</f>
        <v/>
      </c>
      <c r="D929" s="24"/>
      <c r="E929" s="24"/>
      <c r="F929" s="24"/>
      <c r="G929" s="29"/>
      <c r="H929" s="24"/>
    </row>
    <row r="930" spans="2:8" x14ac:dyDescent="0.25">
      <c r="B930" s="21" t="str" cm="1">
        <f t="array" aca="1" ref="B9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0" s="22" t="str" cm="1">
        <f t="array" aca="1" ref="C9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A930, "'!C:C")),"NOK"))&gt;0, "NOK", "Pending....")),"")</f>
        <v/>
      </c>
      <c r="D930" s="24"/>
      <c r="E930" s="24"/>
      <c r="F930" s="24"/>
      <c r="G930" s="29"/>
      <c r="H930" s="24"/>
    </row>
    <row r="931" spans="2:8" x14ac:dyDescent="0.25">
      <c r="B931" s="21" t="str" cm="1">
        <f t="array" aca="1" ref="B9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1" s="22" t="str" cm="1">
        <f t="array" aca="1" ref="C9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A931, "'!C:C")),"NOK"))&gt;0, "NOK", "Pending....")),"")</f>
        <v/>
      </c>
      <c r="D931" s="24"/>
      <c r="E931" s="24"/>
      <c r="F931" s="24"/>
      <c r="G931" s="29"/>
      <c r="H931" s="24"/>
    </row>
    <row r="932" spans="2:8" x14ac:dyDescent="0.25">
      <c r="B932" s="21" t="str" cm="1">
        <f t="array" aca="1" ref="B9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2" s="22" t="str" cm="1">
        <f t="array" aca="1" ref="C9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A932, "'!C:C")),"NOK"))&gt;0, "NOK", "Pending....")),"")</f>
        <v/>
      </c>
      <c r="D932" s="24"/>
      <c r="E932" s="24"/>
      <c r="F932" s="24"/>
      <c r="G932" s="29"/>
      <c r="H932" s="24"/>
    </row>
    <row r="933" spans="2:8" x14ac:dyDescent="0.25">
      <c r="B933" s="21" t="str" cm="1">
        <f t="array" aca="1" ref="B9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3" s="22" t="str" cm="1">
        <f t="array" aca="1" ref="C9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A933, "'!C:C")),"NOK"))&gt;0, "NOK", "Pending....")),"")</f>
        <v/>
      </c>
      <c r="D933" s="24"/>
      <c r="E933" s="24"/>
      <c r="F933" s="24"/>
      <c r="G933" s="29"/>
      <c r="H933" s="24"/>
    </row>
    <row r="934" spans="2:8" x14ac:dyDescent="0.25">
      <c r="B934" s="21" t="str" cm="1">
        <f t="array" aca="1" ref="B9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4" s="22" t="str" cm="1">
        <f t="array" aca="1" ref="C9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A934, "'!C:C")),"NOK"))&gt;0, "NOK", "Pending....")),"")</f>
        <v/>
      </c>
      <c r="D934" s="24"/>
      <c r="E934" s="24"/>
      <c r="F934" s="24"/>
      <c r="G934" s="29"/>
      <c r="H934" s="24"/>
    </row>
    <row r="935" spans="2:8" x14ac:dyDescent="0.25">
      <c r="B935" s="21" t="str" cm="1">
        <f t="array" aca="1" ref="B9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5" s="22" t="str" cm="1">
        <f t="array" aca="1" ref="C9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A935, "'!C:C")),"NOK"))&gt;0, "NOK", "Pending....")),"")</f>
        <v/>
      </c>
      <c r="D935" s="24"/>
      <c r="E935" s="24"/>
      <c r="F935" s="24"/>
      <c r="G935" s="29"/>
      <c r="H935" s="24"/>
    </row>
    <row r="936" spans="2:8" x14ac:dyDescent="0.25">
      <c r="B936" s="21" t="str" cm="1">
        <f t="array" aca="1" ref="B9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6" s="22" t="str" cm="1">
        <f t="array" aca="1" ref="C9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A936, "'!C:C")),"NOK"))&gt;0, "NOK", "Pending....")),"")</f>
        <v/>
      </c>
      <c r="D936" s="24"/>
      <c r="E936" s="24"/>
      <c r="F936" s="24"/>
      <c r="G936" s="29"/>
      <c r="H936" s="24"/>
    </row>
    <row r="937" spans="2:8" x14ac:dyDescent="0.25">
      <c r="B937" s="21" t="str" cm="1">
        <f t="array" aca="1" ref="B9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7" s="22" t="str" cm="1">
        <f t="array" aca="1" ref="C9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A937, "'!C:C")),"NOK"))&gt;0, "NOK", "Pending....")),"")</f>
        <v/>
      </c>
      <c r="D937" s="24"/>
      <c r="E937" s="24"/>
      <c r="F937" s="24"/>
      <c r="G937" s="29"/>
      <c r="H937" s="24"/>
    </row>
    <row r="938" spans="2:8" x14ac:dyDescent="0.25">
      <c r="B938" s="21" t="str" cm="1">
        <f t="array" aca="1" ref="B9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8" s="22" t="str" cm="1">
        <f t="array" aca="1" ref="C9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A938, "'!C:C")),"NOK"))&gt;0, "NOK", "Pending....")),"")</f>
        <v/>
      </c>
      <c r="D938" s="24"/>
      <c r="E938" s="24"/>
      <c r="F938" s="24"/>
      <c r="G938" s="29"/>
      <c r="H938" s="24"/>
    </row>
    <row r="939" spans="2:8" x14ac:dyDescent="0.25">
      <c r="B939" s="21" t="str" cm="1">
        <f t="array" aca="1" ref="B9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39" s="22" t="str" cm="1">
        <f t="array" aca="1" ref="C9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A939, "'!C:C")),"NOK"))&gt;0, "NOK", "Pending....")),"")</f>
        <v/>
      </c>
      <c r="D939" s="24"/>
      <c r="E939" s="24"/>
      <c r="F939" s="24"/>
      <c r="G939" s="29"/>
      <c r="H939" s="24"/>
    </row>
    <row r="940" spans="2:8" x14ac:dyDescent="0.25">
      <c r="B940" s="21" t="str" cm="1">
        <f t="array" aca="1" ref="B9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0" s="22" t="str" cm="1">
        <f t="array" aca="1" ref="C9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A940, "'!C:C")),"NOK"))&gt;0, "NOK", "Pending....")),"")</f>
        <v/>
      </c>
      <c r="D940" s="24"/>
      <c r="E940" s="24"/>
      <c r="F940" s="24"/>
      <c r="G940" s="29"/>
      <c r="H940" s="24"/>
    </row>
    <row r="941" spans="2:8" x14ac:dyDescent="0.25">
      <c r="B941" s="21" t="str" cm="1">
        <f t="array" aca="1" ref="B9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1" s="22" t="str" cm="1">
        <f t="array" aca="1" ref="C9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A941, "'!C:C")),"NOK"))&gt;0, "NOK", "Pending....")),"")</f>
        <v/>
      </c>
      <c r="D941" s="24"/>
      <c r="E941" s="24"/>
      <c r="F941" s="24"/>
      <c r="G941" s="29"/>
      <c r="H941" s="24"/>
    </row>
    <row r="942" spans="2:8" x14ac:dyDescent="0.25">
      <c r="B942" s="21" t="str" cm="1">
        <f t="array" aca="1" ref="B9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2" s="22" t="str" cm="1">
        <f t="array" aca="1" ref="C9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A942, "'!C:C")),"NOK"))&gt;0, "NOK", "Pending....")),"")</f>
        <v/>
      </c>
      <c r="D942" s="24"/>
      <c r="E942" s="24"/>
      <c r="F942" s="24"/>
      <c r="G942" s="29"/>
      <c r="H942" s="24"/>
    </row>
    <row r="943" spans="2:8" x14ac:dyDescent="0.25">
      <c r="B943" s="21" t="str" cm="1">
        <f t="array" aca="1" ref="B9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3" s="22" t="str" cm="1">
        <f t="array" aca="1" ref="C9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A943, "'!C:C")),"NOK"))&gt;0, "NOK", "Pending....")),"")</f>
        <v/>
      </c>
      <c r="D943" s="24"/>
      <c r="E943" s="24"/>
      <c r="F943" s="24"/>
      <c r="G943" s="29"/>
      <c r="H943" s="24"/>
    </row>
    <row r="944" spans="2:8" x14ac:dyDescent="0.25">
      <c r="B944" s="21" t="str" cm="1">
        <f t="array" aca="1" ref="B9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4" s="22" t="str" cm="1">
        <f t="array" aca="1" ref="C9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A944, "'!C:C")),"NOK"))&gt;0, "NOK", "Pending....")),"")</f>
        <v/>
      </c>
      <c r="D944" s="24"/>
      <c r="E944" s="24"/>
      <c r="F944" s="24"/>
      <c r="G944" s="29"/>
      <c r="H944" s="24"/>
    </row>
    <row r="945" spans="2:8" x14ac:dyDescent="0.25">
      <c r="B945" s="21" t="str" cm="1">
        <f t="array" aca="1" ref="B9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5" s="22" t="str" cm="1">
        <f t="array" aca="1" ref="C9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A945, "'!C:C")),"NOK"))&gt;0, "NOK", "Pending....")),"")</f>
        <v/>
      </c>
      <c r="D945" s="24"/>
      <c r="E945" s="24"/>
      <c r="F945" s="24"/>
      <c r="G945" s="29"/>
      <c r="H945" s="24"/>
    </row>
    <row r="946" spans="2:8" x14ac:dyDescent="0.25">
      <c r="B946" s="21" t="str" cm="1">
        <f t="array" aca="1" ref="B9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6" s="22" t="str" cm="1">
        <f t="array" aca="1" ref="C9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A946, "'!C:C")),"NOK"))&gt;0, "NOK", "Pending....")),"")</f>
        <v/>
      </c>
      <c r="D946" s="24"/>
      <c r="E946" s="24"/>
      <c r="F946" s="24"/>
      <c r="G946" s="29"/>
      <c r="H946" s="24"/>
    </row>
    <row r="947" spans="2:8" x14ac:dyDescent="0.25">
      <c r="B947" s="21" t="str" cm="1">
        <f t="array" aca="1" ref="B9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7" s="22" t="str" cm="1">
        <f t="array" aca="1" ref="C9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A947, "'!C:C")),"NOK"))&gt;0, "NOK", "Pending....")),"")</f>
        <v/>
      </c>
      <c r="D947" s="24"/>
      <c r="E947" s="24"/>
      <c r="F947" s="24"/>
      <c r="G947" s="29"/>
      <c r="H947" s="24"/>
    </row>
    <row r="948" spans="2:8" x14ac:dyDescent="0.25">
      <c r="B948" s="21" t="str" cm="1">
        <f t="array" aca="1" ref="B9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8" s="22" t="str" cm="1">
        <f t="array" aca="1" ref="C9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A948, "'!C:C")),"NOK"))&gt;0, "NOK", "Pending....")),"")</f>
        <v/>
      </c>
      <c r="D948" s="24"/>
      <c r="E948" s="24"/>
      <c r="F948" s="24"/>
      <c r="G948" s="29"/>
      <c r="H948" s="24"/>
    </row>
    <row r="949" spans="2:8" x14ac:dyDescent="0.25">
      <c r="B949" s="21" t="str" cm="1">
        <f t="array" aca="1" ref="B9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49" s="22" t="str" cm="1">
        <f t="array" aca="1" ref="C9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A949, "'!C:C")),"NOK"))&gt;0, "NOK", "Pending....")),"")</f>
        <v/>
      </c>
      <c r="D949" s="24"/>
      <c r="E949" s="24"/>
      <c r="F949" s="24"/>
      <c r="G949" s="29"/>
      <c r="H949" s="24"/>
    </row>
    <row r="950" spans="2:8" x14ac:dyDescent="0.25">
      <c r="B950" s="21" t="str" cm="1">
        <f t="array" aca="1" ref="B9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0" s="22" t="str" cm="1">
        <f t="array" aca="1" ref="C9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A950, "'!C:C")),"NOK"))&gt;0, "NOK", "Pending....")),"")</f>
        <v/>
      </c>
      <c r="D950" s="24"/>
      <c r="E950" s="24"/>
      <c r="F950" s="24"/>
      <c r="G950" s="29"/>
      <c r="H950" s="24"/>
    </row>
    <row r="951" spans="2:8" x14ac:dyDescent="0.25">
      <c r="B951" s="21" t="str" cm="1">
        <f t="array" aca="1" ref="B9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1" s="22" t="str" cm="1">
        <f t="array" aca="1" ref="C9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A951, "'!C:C")),"NOK"))&gt;0, "NOK", "Pending....")),"")</f>
        <v/>
      </c>
      <c r="D951" s="24"/>
      <c r="E951" s="24"/>
      <c r="F951" s="24"/>
      <c r="G951" s="29"/>
      <c r="H951" s="24"/>
    </row>
    <row r="952" spans="2:8" x14ac:dyDescent="0.25">
      <c r="B952" s="21" t="str" cm="1">
        <f t="array" aca="1" ref="B9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2" s="22" t="str" cm="1">
        <f t="array" aca="1" ref="C9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A952, "'!C:C")),"NOK"))&gt;0, "NOK", "Pending....")),"")</f>
        <v/>
      </c>
      <c r="D952" s="24"/>
      <c r="E952" s="24"/>
      <c r="F952" s="24"/>
      <c r="G952" s="29"/>
      <c r="H952" s="24"/>
    </row>
    <row r="953" spans="2:8" x14ac:dyDescent="0.25">
      <c r="B953" s="21" t="str" cm="1">
        <f t="array" aca="1" ref="B9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3" s="22" t="str" cm="1">
        <f t="array" aca="1" ref="C9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A953, "'!C:C")),"NOK"))&gt;0, "NOK", "Pending....")),"")</f>
        <v/>
      </c>
      <c r="D953" s="24"/>
      <c r="E953" s="24"/>
      <c r="F953" s="24"/>
      <c r="G953" s="29"/>
      <c r="H953" s="24"/>
    </row>
    <row r="954" spans="2:8" x14ac:dyDescent="0.25">
      <c r="B954" s="21" t="str" cm="1">
        <f t="array" aca="1" ref="B9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4" s="22" t="str" cm="1">
        <f t="array" aca="1" ref="C9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A954, "'!C:C")),"NOK"))&gt;0, "NOK", "Pending....")),"")</f>
        <v/>
      </c>
      <c r="D954" s="24"/>
      <c r="E954" s="24"/>
      <c r="F954" s="24"/>
      <c r="G954" s="29"/>
      <c r="H954" s="24"/>
    </row>
    <row r="955" spans="2:8" x14ac:dyDescent="0.25">
      <c r="B955" s="21" t="str" cm="1">
        <f t="array" aca="1" ref="B9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5" s="22" t="str" cm="1">
        <f t="array" aca="1" ref="C9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A955, "'!C:C")),"NOK"))&gt;0, "NOK", "Pending....")),"")</f>
        <v/>
      </c>
      <c r="D955" s="24"/>
      <c r="E955" s="24"/>
      <c r="F955" s="24"/>
      <c r="G955" s="29"/>
      <c r="H955" s="24"/>
    </row>
    <row r="956" spans="2:8" x14ac:dyDescent="0.25">
      <c r="B956" s="21" t="str" cm="1">
        <f t="array" aca="1" ref="B9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6" s="22" t="str" cm="1">
        <f t="array" aca="1" ref="C9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A956, "'!C:C")),"NOK"))&gt;0, "NOK", "Pending....")),"")</f>
        <v/>
      </c>
      <c r="D956" s="24"/>
      <c r="E956" s="24"/>
      <c r="F956" s="24"/>
      <c r="G956" s="29"/>
      <c r="H956" s="24"/>
    </row>
    <row r="957" spans="2:8" x14ac:dyDescent="0.25">
      <c r="B957" s="21" t="str" cm="1">
        <f t="array" aca="1" ref="B9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7" s="22" t="str" cm="1">
        <f t="array" aca="1" ref="C9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A957, "'!C:C")),"NOK"))&gt;0, "NOK", "Pending....")),"")</f>
        <v/>
      </c>
      <c r="D957" s="24"/>
      <c r="E957" s="24"/>
      <c r="F957" s="24"/>
      <c r="G957" s="29"/>
      <c r="H957" s="24"/>
    </row>
    <row r="958" spans="2:8" x14ac:dyDescent="0.25">
      <c r="B958" s="21" t="str" cm="1">
        <f t="array" aca="1" ref="B9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8" s="22" t="str" cm="1">
        <f t="array" aca="1" ref="C9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A958, "'!C:C")),"NOK"))&gt;0, "NOK", "Pending....")),"")</f>
        <v/>
      </c>
      <c r="D958" s="24"/>
      <c r="E958" s="24"/>
      <c r="F958" s="24"/>
      <c r="G958" s="29"/>
      <c r="H958" s="24"/>
    </row>
    <row r="959" spans="2:8" x14ac:dyDescent="0.25">
      <c r="B959" s="21" t="str" cm="1">
        <f t="array" aca="1" ref="B9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59" s="22" t="str" cm="1">
        <f t="array" aca="1" ref="C9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A959, "'!C:C")),"NOK"))&gt;0, "NOK", "Pending....")),"")</f>
        <v/>
      </c>
      <c r="D959" s="24"/>
      <c r="E959" s="24"/>
      <c r="F959" s="24"/>
      <c r="G959" s="29"/>
      <c r="H959" s="24"/>
    </row>
    <row r="960" spans="2:8" x14ac:dyDescent="0.25">
      <c r="B960" s="21" t="str" cm="1">
        <f t="array" aca="1" ref="B9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0" s="22" t="str" cm="1">
        <f t="array" aca="1" ref="C9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A960, "'!C:C")),"NOK"))&gt;0, "NOK", "Pending....")),"")</f>
        <v/>
      </c>
      <c r="D960" s="24"/>
      <c r="E960" s="24"/>
      <c r="F960" s="24"/>
      <c r="G960" s="29"/>
      <c r="H960" s="24"/>
    </row>
    <row r="961" spans="2:8" x14ac:dyDescent="0.25">
      <c r="B961" s="21" t="str" cm="1">
        <f t="array" aca="1" ref="B9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1" s="22" t="str" cm="1">
        <f t="array" aca="1" ref="C9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A961, "'!C:C")),"NOK"))&gt;0, "NOK", "Pending....")),"")</f>
        <v/>
      </c>
      <c r="D961" s="24"/>
      <c r="E961" s="24"/>
      <c r="F961" s="24"/>
      <c r="G961" s="29"/>
      <c r="H961" s="24"/>
    </row>
    <row r="962" spans="2:8" x14ac:dyDescent="0.25">
      <c r="B962" s="21" t="str" cm="1">
        <f t="array" aca="1" ref="B9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2" s="22" t="str" cm="1">
        <f t="array" aca="1" ref="C9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A962, "'!C:C")),"NOK"))&gt;0, "NOK", "Pending....")),"")</f>
        <v/>
      </c>
      <c r="D962" s="24"/>
      <c r="E962" s="24"/>
      <c r="F962" s="24"/>
      <c r="G962" s="29"/>
      <c r="H962" s="24"/>
    </row>
    <row r="963" spans="2:8" x14ac:dyDescent="0.25">
      <c r="B963" s="21" t="str" cm="1">
        <f t="array" aca="1" ref="B9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3" s="22" t="str" cm="1">
        <f t="array" aca="1" ref="C9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A963, "'!C:C")),"NOK"))&gt;0, "NOK", "Pending....")),"")</f>
        <v/>
      </c>
      <c r="D963" s="24"/>
      <c r="E963" s="24"/>
      <c r="F963" s="24"/>
      <c r="G963" s="29"/>
      <c r="H963" s="24"/>
    </row>
    <row r="964" spans="2:8" x14ac:dyDescent="0.25">
      <c r="B964" s="21" t="str" cm="1">
        <f t="array" aca="1" ref="B9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4" s="22" t="str" cm="1">
        <f t="array" aca="1" ref="C9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A964, "'!C:C")),"NOK"))&gt;0, "NOK", "Pending....")),"")</f>
        <v/>
      </c>
      <c r="D964" s="24"/>
      <c r="E964" s="24"/>
      <c r="F964" s="24"/>
      <c r="G964" s="29"/>
      <c r="H964" s="24"/>
    </row>
    <row r="965" spans="2:8" x14ac:dyDescent="0.25">
      <c r="B965" s="21" t="str" cm="1">
        <f t="array" aca="1" ref="B9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5" s="22" t="str" cm="1">
        <f t="array" aca="1" ref="C9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A965, "'!C:C")),"NOK"))&gt;0, "NOK", "Pending....")),"")</f>
        <v/>
      </c>
      <c r="D965" s="24"/>
      <c r="E965" s="24"/>
      <c r="F965" s="24"/>
      <c r="G965" s="29"/>
      <c r="H965" s="24"/>
    </row>
    <row r="966" spans="2:8" x14ac:dyDescent="0.25">
      <c r="B966" s="21" t="str" cm="1">
        <f t="array" aca="1" ref="B9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6" s="22" t="str" cm="1">
        <f t="array" aca="1" ref="C9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A966, "'!C:C")),"NOK"))&gt;0, "NOK", "Pending....")),"")</f>
        <v/>
      </c>
      <c r="D966" s="24"/>
      <c r="E966" s="24"/>
      <c r="F966" s="24"/>
      <c r="G966" s="29"/>
      <c r="H966" s="24"/>
    </row>
    <row r="967" spans="2:8" x14ac:dyDescent="0.25">
      <c r="B967" s="21" t="str" cm="1">
        <f t="array" aca="1" ref="B9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7" s="22" t="str" cm="1">
        <f t="array" aca="1" ref="C9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A967, "'!C:C")),"NOK"))&gt;0, "NOK", "Pending....")),"")</f>
        <v/>
      </c>
      <c r="D967" s="24"/>
      <c r="E967" s="24"/>
      <c r="F967" s="24"/>
      <c r="G967" s="29"/>
      <c r="H967" s="24"/>
    </row>
    <row r="968" spans="2:8" x14ac:dyDescent="0.25">
      <c r="B968" s="21" t="str" cm="1">
        <f t="array" aca="1" ref="B9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8" s="22" t="str" cm="1">
        <f t="array" aca="1" ref="C9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A968, "'!C:C")),"NOK"))&gt;0, "NOK", "Pending....")),"")</f>
        <v/>
      </c>
      <c r="D968" s="24"/>
      <c r="E968" s="24"/>
      <c r="F968" s="24"/>
      <c r="G968" s="29"/>
      <c r="H968" s="24"/>
    </row>
    <row r="969" spans="2:8" x14ac:dyDescent="0.25">
      <c r="B969" s="21" t="str" cm="1">
        <f t="array" aca="1" ref="B9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69" s="22" t="str" cm="1">
        <f t="array" aca="1" ref="C9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A969, "'!C:C")),"NOK"))&gt;0, "NOK", "Pending....")),"")</f>
        <v/>
      </c>
      <c r="D969" s="24"/>
      <c r="E969" s="24"/>
      <c r="F969" s="24"/>
      <c r="G969" s="29"/>
      <c r="H969" s="24"/>
    </row>
    <row r="970" spans="2:8" x14ac:dyDescent="0.25">
      <c r="B970" s="21" t="str" cm="1">
        <f t="array" aca="1" ref="B9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0" s="22" t="str" cm="1">
        <f t="array" aca="1" ref="C9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A970, "'!C:C")),"NOK"))&gt;0, "NOK", "Pending....")),"")</f>
        <v/>
      </c>
      <c r="D970" s="24"/>
      <c r="E970" s="24"/>
      <c r="F970" s="24"/>
      <c r="G970" s="29"/>
      <c r="H970" s="24"/>
    </row>
    <row r="971" spans="2:8" x14ac:dyDescent="0.25">
      <c r="B971" s="21" t="str" cm="1">
        <f t="array" aca="1" ref="B9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1" s="22" t="str" cm="1">
        <f t="array" aca="1" ref="C9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A971, "'!C:C")),"NOK"))&gt;0, "NOK", "Pending....")),"")</f>
        <v/>
      </c>
      <c r="D971" s="24"/>
      <c r="E971" s="24"/>
      <c r="F971" s="24"/>
      <c r="G971" s="29"/>
      <c r="H971" s="24"/>
    </row>
    <row r="972" spans="2:8" x14ac:dyDescent="0.25">
      <c r="B972" s="21" t="str" cm="1">
        <f t="array" aca="1" ref="B9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2" s="22" t="str" cm="1">
        <f t="array" aca="1" ref="C9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A972, "'!C:C")),"NOK"))&gt;0, "NOK", "Pending....")),"")</f>
        <v/>
      </c>
      <c r="D972" s="24"/>
      <c r="E972" s="24"/>
      <c r="F972" s="24"/>
      <c r="G972" s="29"/>
      <c r="H972" s="24"/>
    </row>
    <row r="973" spans="2:8" x14ac:dyDescent="0.25">
      <c r="B973" s="21" t="str" cm="1">
        <f t="array" aca="1" ref="B9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3" s="22" t="str" cm="1">
        <f t="array" aca="1" ref="C9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A973, "'!C:C")),"NOK"))&gt;0, "NOK", "Pending....")),"")</f>
        <v/>
      </c>
      <c r="D973" s="24"/>
      <c r="E973" s="24"/>
      <c r="F973" s="24"/>
      <c r="G973" s="29"/>
      <c r="H973" s="24"/>
    </row>
    <row r="974" spans="2:8" x14ac:dyDescent="0.25">
      <c r="B974" s="21" t="str" cm="1">
        <f t="array" aca="1" ref="B9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4" s="22" t="str" cm="1">
        <f t="array" aca="1" ref="C9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A974, "'!C:C")),"NOK"))&gt;0, "NOK", "Pending....")),"")</f>
        <v/>
      </c>
      <c r="D974" s="24"/>
      <c r="E974" s="24"/>
      <c r="F974" s="24"/>
      <c r="G974" s="29"/>
      <c r="H974" s="24"/>
    </row>
    <row r="975" spans="2:8" x14ac:dyDescent="0.25">
      <c r="B975" s="21" t="str" cm="1">
        <f t="array" aca="1" ref="B9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5" s="22" t="str" cm="1">
        <f t="array" aca="1" ref="C9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A975, "'!C:C")),"NOK"))&gt;0, "NOK", "Pending....")),"")</f>
        <v/>
      </c>
      <c r="D975" s="24"/>
      <c r="E975" s="24"/>
      <c r="F975" s="24"/>
      <c r="G975" s="29"/>
      <c r="H975" s="24"/>
    </row>
    <row r="976" spans="2:8" x14ac:dyDescent="0.25">
      <c r="B976" s="21" t="str" cm="1">
        <f t="array" aca="1" ref="B9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6" s="22" t="str" cm="1">
        <f t="array" aca="1" ref="C9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A976, "'!C:C")),"NOK"))&gt;0, "NOK", "Pending....")),"")</f>
        <v/>
      </c>
      <c r="D976" s="24"/>
      <c r="E976" s="24"/>
      <c r="F976" s="24"/>
      <c r="G976" s="29"/>
      <c r="H976" s="24"/>
    </row>
    <row r="977" spans="2:8" x14ac:dyDescent="0.25">
      <c r="B977" s="21" t="str" cm="1">
        <f t="array" aca="1" ref="B9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7" s="22" t="str" cm="1">
        <f t="array" aca="1" ref="C9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A977, "'!C:C")),"NOK"))&gt;0, "NOK", "Pending....")),"")</f>
        <v/>
      </c>
      <c r="D977" s="24"/>
      <c r="E977" s="24"/>
      <c r="F977" s="24"/>
      <c r="G977" s="29"/>
      <c r="H977" s="24"/>
    </row>
    <row r="978" spans="2:8" x14ac:dyDescent="0.25">
      <c r="B978" s="21" t="str" cm="1">
        <f t="array" aca="1" ref="B9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8" s="22" t="str" cm="1">
        <f t="array" aca="1" ref="C9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A978, "'!C:C")),"NOK"))&gt;0, "NOK", "Pending....")),"")</f>
        <v/>
      </c>
      <c r="D978" s="24"/>
      <c r="E978" s="24"/>
      <c r="F978" s="24"/>
      <c r="G978" s="29"/>
      <c r="H978" s="24"/>
    </row>
    <row r="979" spans="2:8" x14ac:dyDescent="0.25">
      <c r="B979" s="21" t="str" cm="1">
        <f t="array" aca="1" ref="B9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79" s="22" t="str" cm="1">
        <f t="array" aca="1" ref="C9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A979, "'!C:C")),"NOK"))&gt;0, "NOK", "Pending....")),"")</f>
        <v/>
      </c>
      <c r="D979" s="24"/>
      <c r="E979" s="24"/>
      <c r="F979" s="24"/>
      <c r="G979" s="29"/>
      <c r="H979" s="24"/>
    </row>
    <row r="980" spans="2:8" x14ac:dyDescent="0.25">
      <c r="B980" s="21" t="str" cm="1">
        <f t="array" aca="1" ref="B9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0" s="22" t="str" cm="1">
        <f t="array" aca="1" ref="C9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A980, "'!C:C")),"NOK"))&gt;0, "NOK", "Pending....")),"")</f>
        <v/>
      </c>
      <c r="D980" s="24"/>
      <c r="E980" s="24"/>
      <c r="F980" s="24"/>
      <c r="G980" s="29"/>
      <c r="H980" s="24"/>
    </row>
    <row r="981" spans="2:8" x14ac:dyDescent="0.25">
      <c r="B981" s="21" t="str" cm="1">
        <f t="array" aca="1" ref="B9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1" s="22" t="str" cm="1">
        <f t="array" aca="1" ref="C9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A981, "'!C:C")),"NOK"))&gt;0, "NOK", "Pending....")),"")</f>
        <v/>
      </c>
      <c r="D981" s="24"/>
      <c r="E981" s="24"/>
      <c r="F981" s="24"/>
      <c r="G981" s="29"/>
      <c r="H981" s="24"/>
    </row>
    <row r="982" spans="2:8" x14ac:dyDescent="0.25">
      <c r="B982" s="21" t="str" cm="1">
        <f t="array" aca="1" ref="B9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2" s="22" t="str" cm="1">
        <f t="array" aca="1" ref="C9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A982, "'!C:C")),"NOK"))&gt;0, "NOK", "Pending....")),"")</f>
        <v/>
      </c>
      <c r="D982" s="24"/>
      <c r="E982" s="24"/>
      <c r="F982" s="24"/>
      <c r="G982" s="29"/>
      <c r="H982" s="24"/>
    </row>
    <row r="983" spans="2:8" x14ac:dyDescent="0.25">
      <c r="B983" s="21" t="str" cm="1">
        <f t="array" aca="1" ref="B9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3" s="22" t="str" cm="1">
        <f t="array" aca="1" ref="C9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A983, "'!C:C")),"NOK"))&gt;0, "NOK", "Pending....")),"")</f>
        <v/>
      </c>
      <c r="D983" s="24"/>
      <c r="E983" s="24"/>
      <c r="F983" s="24"/>
      <c r="G983" s="29"/>
      <c r="H983" s="24"/>
    </row>
    <row r="984" spans="2:8" x14ac:dyDescent="0.25">
      <c r="B984" s="21" t="str" cm="1">
        <f t="array" aca="1" ref="B9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4" s="22" t="str" cm="1">
        <f t="array" aca="1" ref="C9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A984, "'!C:C")),"NOK"))&gt;0, "NOK", "Pending....")),"")</f>
        <v/>
      </c>
      <c r="D984" s="24"/>
      <c r="E984" s="24"/>
      <c r="F984" s="24"/>
      <c r="G984" s="29"/>
      <c r="H984" s="24"/>
    </row>
    <row r="985" spans="2:8" x14ac:dyDescent="0.25">
      <c r="B985" s="21" t="str" cm="1">
        <f t="array" aca="1" ref="B9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5" s="22" t="str" cm="1">
        <f t="array" aca="1" ref="C9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A985, "'!C:C")),"NOK"))&gt;0, "NOK", "Pending....")),"")</f>
        <v/>
      </c>
      <c r="D985" s="24"/>
      <c r="E985" s="24"/>
      <c r="F985" s="24"/>
      <c r="G985" s="29"/>
      <c r="H985" s="24"/>
    </row>
    <row r="986" spans="2:8" x14ac:dyDescent="0.25">
      <c r="B986" s="21" t="str" cm="1">
        <f t="array" aca="1" ref="B9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6" s="22" t="str" cm="1">
        <f t="array" aca="1" ref="C9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A986, "'!C:C")),"NOK"))&gt;0, "NOK", "Pending....")),"")</f>
        <v/>
      </c>
      <c r="D986" s="24"/>
      <c r="E986" s="24"/>
      <c r="F986" s="24"/>
      <c r="G986" s="29"/>
      <c r="H986" s="24"/>
    </row>
    <row r="987" spans="2:8" x14ac:dyDescent="0.25">
      <c r="B987" s="21" t="str" cm="1">
        <f t="array" aca="1" ref="B9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7" s="22" t="str" cm="1">
        <f t="array" aca="1" ref="C9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A987, "'!C:C")),"NOK"))&gt;0, "NOK", "Pending....")),"")</f>
        <v/>
      </c>
      <c r="D987" s="24"/>
      <c r="E987" s="24"/>
      <c r="F987" s="24"/>
      <c r="G987" s="29"/>
      <c r="H987" s="24"/>
    </row>
    <row r="988" spans="2:8" x14ac:dyDescent="0.25">
      <c r="B988" s="21" t="str" cm="1">
        <f t="array" aca="1" ref="B9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8" s="22" t="str" cm="1">
        <f t="array" aca="1" ref="C9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A988, "'!C:C")),"NOK"))&gt;0, "NOK", "Pending....")),"")</f>
        <v/>
      </c>
      <c r="D988" s="24"/>
      <c r="E988" s="24"/>
      <c r="F988" s="24"/>
      <c r="G988" s="29"/>
      <c r="H988" s="24"/>
    </row>
    <row r="989" spans="2:8" x14ac:dyDescent="0.25">
      <c r="B989" s="21" t="str" cm="1">
        <f t="array" aca="1" ref="B9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89" s="22" t="str" cm="1">
        <f t="array" aca="1" ref="C9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A989, "'!C:C")),"NOK"))&gt;0, "NOK", "Pending....")),"")</f>
        <v/>
      </c>
      <c r="D989" s="24"/>
      <c r="E989" s="24"/>
      <c r="F989" s="24"/>
      <c r="G989" s="29"/>
      <c r="H989" s="24"/>
    </row>
    <row r="990" spans="2:8" x14ac:dyDescent="0.25">
      <c r="B990" s="21" t="str" cm="1">
        <f t="array" aca="1" ref="B9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0" s="22" t="str" cm="1">
        <f t="array" aca="1" ref="C9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A990, "'!C:C")),"NOK"))&gt;0, "NOK", "Pending....")),"")</f>
        <v/>
      </c>
      <c r="D990" s="24"/>
      <c r="E990" s="24"/>
      <c r="F990" s="24"/>
      <c r="G990" s="29"/>
      <c r="H990" s="24"/>
    </row>
    <row r="991" spans="2:8" x14ac:dyDescent="0.25">
      <c r="B991" s="21" t="str" cm="1">
        <f t="array" aca="1" ref="B9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1" s="22" t="str" cm="1">
        <f t="array" aca="1" ref="C9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A991, "'!C:C")),"NOK"))&gt;0, "NOK", "Pending....")),"")</f>
        <v/>
      </c>
      <c r="D991" s="24"/>
      <c r="E991" s="24"/>
      <c r="F991" s="24"/>
      <c r="G991" s="29"/>
      <c r="H991" s="24"/>
    </row>
    <row r="992" spans="2:8" x14ac:dyDescent="0.25">
      <c r="B992" s="21" t="str" cm="1">
        <f t="array" aca="1" ref="B9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2" s="22" t="str" cm="1">
        <f t="array" aca="1" ref="C9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A992, "'!C:C")),"NOK"))&gt;0, "NOK", "Pending....")),"")</f>
        <v/>
      </c>
      <c r="D992" s="24"/>
      <c r="E992" s="24"/>
      <c r="F992" s="24"/>
      <c r="G992" s="29"/>
      <c r="H992" s="24"/>
    </row>
    <row r="993" spans="2:8" x14ac:dyDescent="0.25">
      <c r="B993" s="21" t="str" cm="1">
        <f t="array" aca="1" ref="B9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3" s="22" t="str" cm="1">
        <f t="array" aca="1" ref="C9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A993, "'!C:C")),"NOK"))&gt;0, "NOK", "Pending....")),"")</f>
        <v/>
      </c>
      <c r="D993" s="24"/>
      <c r="E993" s="24"/>
      <c r="F993" s="24"/>
      <c r="G993" s="29"/>
      <c r="H993" s="24"/>
    </row>
    <row r="994" spans="2:8" x14ac:dyDescent="0.25">
      <c r="B994" s="21" t="str" cm="1">
        <f t="array" aca="1" ref="B9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4" s="22" t="str" cm="1">
        <f t="array" aca="1" ref="C9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A994, "'!C:C")),"NOK"))&gt;0, "NOK", "Pending....")),"")</f>
        <v/>
      </c>
      <c r="D994" s="24"/>
      <c r="E994" s="24"/>
      <c r="F994" s="24"/>
      <c r="G994" s="29"/>
      <c r="H994" s="24"/>
    </row>
    <row r="995" spans="2:8" x14ac:dyDescent="0.25">
      <c r="B995" s="21" t="str" cm="1">
        <f t="array" aca="1" ref="B9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5" s="22" t="str" cm="1">
        <f t="array" aca="1" ref="C9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A995, "'!C:C")),"NOK"))&gt;0, "NOK", "Pending....")),"")</f>
        <v/>
      </c>
      <c r="D995" s="24"/>
      <c r="E995" s="24"/>
      <c r="F995" s="24"/>
      <c r="G995" s="29"/>
      <c r="H995" s="24"/>
    </row>
    <row r="996" spans="2:8" x14ac:dyDescent="0.25">
      <c r="B996" s="21" t="str" cm="1">
        <f t="array" aca="1" ref="B9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6" s="22" t="str" cm="1">
        <f t="array" aca="1" ref="C9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A996, "'!C:C")),"NOK"))&gt;0, "NOK", "Pending....")),"")</f>
        <v/>
      </c>
      <c r="D996" s="24"/>
      <c r="E996" s="24"/>
      <c r="F996" s="24"/>
      <c r="G996" s="29"/>
      <c r="H996" s="24"/>
    </row>
    <row r="997" spans="2:8" x14ac:dyDescent="0.25">
      <c r="B997" s="21" t="str" cm="1">
        <f t="array" aca="1" ref="B9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7" s="22" t="str" cm="1">
        <f t="array" aca="1" ref="C9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A997, "'!C:C")),"NOK"))&gt;0, "NOK", "Pending....")),"")</f>
        <v/>
      </c>
      <c r="D997" s="24"/>
      <c r="E997" s="24"/>
      <c r="F997" s="24"/>
      <c r="G997" s="29"/>
      <c r="H997" s="24"/>
    </row>
    <row r="998" spans="2:8" x14ac:dyDescent="0.25">
      <c r="B998" s="21" t="str" cm="1">
        <f t="array" aca="1" ref="B9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8" s="22" t="str" cm="1">
        <f t="array" aca="1" ref="C9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A998, "'!C:C")),"NOK"))&gt;0, "NOK", "Pending....")),"")</f>
        <v/>
      </c>
      <c r="D998" s="24"/>
      <c r="E998" s="24"/>
      <c r="F998" s="24"/>
      <c r="G998" s="29"/>
      <c r="H998" s="24"/>
    </row>
    <row r="999" spans="2:8" x14ac:dyDescent="0.25">
      <c r="B999" s="21" t="str" cm="1">
        <f t="array" aca="1" ref="B9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999" s="22" t="str" cm="1">
        <f t="array" aca="1" ref="C9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A999, "'!C:C")),"NOK"))&gt;0, "NOK", "Pending....")),"")</f>
        <v/>
      </c>
      <c r="D999" s="24"/>
      <c r="E999" s="24"/>
      <c r="F999" s="24"/>
      <c r="G999" s="29"/>
      <c r="H999" s="24"/>
    </row>
    <row r="1000" spans="2:8" x14ac:dyDescent="0.25">
      <c r="B1000" s="21" t="str" cm="1">
        <f t="array" aca="1" ref="B10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0" s="22" t="str" cm="1">
        <f t="array" aca="1" ref="C10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A1000, "'!C:C")),"NOK"))&gt;0, "NOK", "Pending....")),"")</f>
        <v/>
      </c>
      <c r="D1000" s="24"/>
      <c r="E1000" s="24"/>
      <c r="F1000" s="24"/>
      <c r="G1000" s="29"/>
      <c r="H1000" s="24"/>
    </row>
    <row r="1001" spans="2:8" x14ac:dyDescent="0.25">
      <c r="B1001" s="21" t="str" cm="1">
        <f t="array" aca="1" ref="B10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1" s="22" t="str" cm="1">
        <f t="array" aca="1" ref="C10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A1001, "'!C:C")),"NOK"))&gt;0, "NOK", "Pending....")),"")</f>
        <v/>
      </c>
      <c r="D1001" s="24"/>
      <c r="E1001" s="24"/>
      <c r="F1001" s="24"/>
      <c r="G1001" s="29"/>
      <c r="H1001" s="24"/>
    </row>
    <row r="1002" spans="2:8" x14ac:dyDescent="0.25">
      <c r="B1002" s="21" t="str" cm="1">
        <f t="array" aca="1" ref="B10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2" s="22" t="str" cm="1">
        <f t="array" aca="1" ref="C10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A1002, "'!C:C")),"NOK"))&gt;0, "NOK", "Pending....")),"")</f>
        <v/>
      </c>
      <c r="D1002" s="24"/>
      <c r="E1002" s="24"/>
      <c r="F1002" s="24"/>
      <c r="G1002" s="29"/>
      <c r="H1002" s="24"/>
    </row>
    <row r="1003" spans="2:8" x14ac:dyDescent="0.25">
      <c r="B1003" s="21" t="str" cm="1">
        <f t="array" aca="1" ref="B10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3" s="22" t="str" cm="1">
        <f t="array" aca="1" ref="C10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A1003, "'!C:C")),"NOK"))&gt;0, "NOK", "Pending....")),"")</f>
        <v/>
      </c>
      <c r="D1003" s="24"/>
      <c r="E1003" s="24"/>
      <c r="F1003" s="24"/>
      <c r="G1003" s="29"/>
      <c r="H1003" s="24"/>
    </row>
    <row r="1004" spans="2:8" x14ac:dyDescent="0.25">
      <c r="B1004" s="21" t="str" cm="1">
        <f t="array" aca="1" ref="B10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4" s="22" t="str" cm="1">
        <f t="array" aca="1" ref="C10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A1004, "'!C:C")),"NOK"))&gt;0, "NOK", "Pending....")),"")</f>
        <v/>
      </c>
      <c r="D1004" s="24"/>
      <c r="E1004" s="24"/>
      <c r="F1004" s="24"/>
      <c r="G1004" s="29"/>
      <c r="H1004" s="24"/>
    </row>
    <row r="1005" spans="2:8" x14ac:dyDescent="0.25">
      <c r="B1005" s="21" t="str" cm="1">
        <f t="array" aca="1" ref="B10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5" s="22" t="str" cm="1">
        <f t="array" aca="1" ref="C10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A1005, "'!C:C")),"NOK"))&gt;0, "NOK", "Pending....")),"")</f>
        <v/>
      </c>
      <c r="D1005" s="24"/>
      <c r="E1005" s="24"/>
      <c r="F1005" s="24"/>
      <c r="G1005" s="29"/>
      <c r="H1005" s="24"/>
    </row>
    <row r="1006" spans="2:8" x14ac:dyDescent="0.25">
      <c r="B1006" s="21" t="str" cm="1">
        <f t="array" aca="1" ref="B10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6" s="22" t="str" cm="1">
        <f t="array" aca="1" ref="C10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A1006, "'!C:C")),"NOK"))&gt;0, "NOK", "Pending....")),"")</f>
        <v/>
      </c>
      <c r="D1006" s="24"/>
      <c r="E1006" s="24"/>
      <c r="F1006" s="24"/>
      <c r="G1006" s="29"/>
      <c r="H1006" s="24"/>
    </row>
    <row r="1007" spans="2:8" x14ac:dyDescent="0.25">
      <c r="B1007" s="21" t="str" cm="1">
        <f t="array" aca="1" ref="B10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7" s="22" t="str" cm="1">
        <f t="array" aca="1" ref="C10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A1007, "'!C:C")),"NOK"))&gt;0, "NOK", "Pending....")),"")</f>
        <v/>
      </c>
      <c r="D1007" s="24"/>
      <c r="E1007" s="24"/>
      <c r="F1007" s="24"/>
      <c r="G1007" s="29"/>
      <c r="H1007" s="24"/>
    </row>
    <row r="1008" spans="2:8" x14ac:dyDescent="0.25">
      <c r="B1008" s="21" t="str" cm="1">
        <f t="array" aca="1" ref="B10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8" s="22" t="str" cm="1">
        <f t="array" aca="1" ref="C10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A1008, "'!C:C")),"NOK"))&gt;0, "NOK", "Pending....")),"")</f>
        <v/>
      </c>
      <c r="D1008" s="24"/>
      <c r="E1008" s="24"/>
      <c r="F1008" s="24"/>
      <c r="G1008" s="29"/>
      <c r="H1008" s="24"/>
    </row>
    <row r="1009" spans="2:8" x14ac:dyDescent="0.25">
      <c r="B1009" s="21" t="str" cm="1">
        <f t="array" aca="1" ref="B10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09" s="22" t="str" cm="1">
        <f t="array" aca="1" ref="C10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A1009, "'!C:C")),"NOK"))&gt;0, "NOK", "Pending....")),"")</f>
        <v/>
      </c>
      <c r="D1009" s="24"/>
      <c r="E1009" s="24"/>
      <c r="F1009" s="24"/>
      <c r="G1009" s="29"/>
      <c r="H1009" s="24"/>
    </row>
    <row r="1010" spans="2:8" x14ac:dyDescent="0.25">
      <c r="B1010" s="21" t="str" cm="1">
        <f t="array" aca="1" ref="B10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0" s="22" t="str" cm="1">
        <f t="array" aca="1" ref="C10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A1010, "'!C:C")),"NOK"))&gt;0, "NOK", "Pending....")),"")</f>
        <v/>
      </c>
      <c r="D1010" s="24"/>
      <c r="E1010" s="24"/>
      <c r="F1010" s="24"/>
      <c r="G1010" s="29"/>
      <c r="H1010" s="24"/>
    </row>
    <row r="1011" spans="2:8" x14ac:dyDescent="0.25">
      <c r="B1011" s="21" t="str" cm="1">
        <f t="array" aca="1" ref="B10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1" s="22" t="str" cm="1">
        <f t="array" aca="1" ref="C10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A1011, "'!C:C")),"NOK"))&gt;0, "NOK", "Pending....")),"")</f>
        <v/>
      </c>
      <c r="D1011" s="24"/>
      <c r="E1011" s="24"/>
      <c r="F1011" s="24"/>
      <c r="G1011" s="29"/>
      <c r="H1011" s="24"/>
    </row>
    <row r="1012" spans="2:8" x14ac:dyDescent="0.25">
      <c r="B1012" s="21" t="str" cm="1">
        <f t="array" aca="1" ref="B10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2" s="22" t="str" cm="1">
        <f t="array" aca="1" ref="C10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A1012, "'!C:C")),"NOK"))&gt;0, "NOK", "Pending....")),"")</f>
        <v/>
      </c>
      <c r="D1012" s="24"/>
      <c r="E1012" s="24"/>
      <c r="F1012" s="24"/>
      <c r="G1012" s="29"/>
      <c r="H1012" s="24"/>
    </row>
    <row r="1013" spans="2:8" x14ac:dyDescent="0.25">
      <c r="B1013" s="21" t="str" cm="1">
        <f t="array" aca="1" ref="B10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3" s="22" t="str" cm="1">
        <f t="array" aca="1" ref="C10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A1013, "'!C:C")),"NOK"))&gt;0, "NOK", "Pending....")),"")</f>
        <v/>
      </c>
      <c r="D1013" s="24"/>
      <c r="E1013" s="24"/>
      <c r="F1013" s="24"/>
      <c r="G1013" s="29"/>
      <c r="H1013" s="24"/>
    </row>
    <row r="1014" spans="2:8" x14ac:dyDescent="0.25">
      <c r="B1014" s="21" t="str" cm="1">
        <f t="array" aca="1" ref="B10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4" s="22" t="str" cm="1">
        <f t="array" aca="1" ref="C10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A1014, "'!C:C")),"NOK"))&gt;0, "NOK", "Pending....")),"")</f>
        <v/>
      </c>
      <c r="D1014" s="24"/>
      <c r="E1014" s="24"/>
      <c r="F1014" s="24"/>
      <c r="G1014" s="29"/>
      <c r="H1014" s="24"/>
    </row>
    <row r="1015" spans="2:8" x14ac:dyDescent="0.25">
      <c r="B1015" s="21" t="str" cm="1">
        <f t="array" aca="1" ref="B10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5" s="22" t="str" cm="1">
        <f t="array" aca="1" ref="C10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A1015, "'!C:C")),"NOK"))&gt;0, "NOK", "Pending....")),"")</f>
        <v/>
      </c>
      <c r="D1015" s="24"/>
      <c r="E1015" s="24"/>
      <c r="F1015" s="24"/>
      <c r="G1015" s="29"/>
      <c r="H1015" s="24"/>
    </row>
    <row r="1016" spans="2:8" x14ac:dyDescent="0.25">
      <c r="B1016" s="21" t="str" cm="1">
        <f t="array" aca="1" ref="B10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6" s="22" t="str" cm="1">
        <f t="array" aca="1" ref="C10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A1016, "'!C:C")),"NOK"))&gt;0, "NOK", "Pending....")),"")</f>
        <v/>
      </c>
      <c r="D1016" s="24"/>
      <c r="E1016" s="24"/>
      <c r="F1016" s="24"/>
      <c r="G1016" s="29"/>
      <c r="H1016" s="24"/>
    </row>
    <row r="1017" spans="2:8" x14ac:dyDescent="0.25">
      <c r="B1017" s="21" t="str" cm="1">
        <f t="array" aca="1" ref="B10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7" s="22" t="str" cm="1">
        <f t="array" aca="1" ref="C10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A1017, "'!C:C")),"NOK"))&gt;0, "NOK", "Pending....")),"")</f>
        <v/>
      </c>
      <c r="D1017" s="24"/>
      <c r="E1017" s="24"/>
      <c r="F1017" s="24"/>
      <c r="G1017" s="29"/>
      <c r="H1017" s="24"/>
    </row>
    <row r="1018" spans="2:8" x14ac:dyDescent="0.25">
      <c r="B1018" s="21" t="str" cm="1">
        <f t="array" aca="1" ref="B10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8" s="22" t="str" cm="1">
        <f t="array" aca="1" ref="C10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A1018, "'!C:C")),"NOK"))&gt;0, "NOK", "Pending....")),"")</f>
        <v/>
      </c>
      <c r="D1018" s="24"/>
      <c r="E1018" s="24"/>
      <c r="F1018" s="24"/>
      <c r="G1018" s="29"/>
      <c r="H1018" s="24"/>
    </row>
    <row r="1019" spans="2:8" x14ac:dyDescent="0.25">
      <c r="B1019" s="21" t="str" cm="1">
        <f t="array" aca="1" ref="B10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19" s="22" t="str" cm="1">
        <f t="array" aca="1" ref="C10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A1019, "'!C:C")),"NOK"))&gt;0, "NOK", "Pending....")),"")</f>
        <v/>
      </c>
      <c r="D1019" s="24"/>
      <c r="E1019" s="24"/>
      <c r="F1019" s="24"/>
      <c r="G1019" s="29"/>
      <c r="H1019" s="24"/>
    </row>
    <row r="1020" spans="2:8" x14ac:dyDescent="0.25">
      <c r="B1020" s="21" t="str" cm="1">
        <f t="array" aca="1" ref="B10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0" s="22" t="str" cm="1">
        <f t="array" aca="1" ref="C10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A1020, "'!C:C")),"NOK"))&gt;0, "NOK", "Pending....")),"")</f>
        <v/>
      </c>
      <c r="D1020" s="24"/>
      <c r="E1020" s="24"/>
      <c r="F1020" s="24"/>
      <c r="G1020" s="29"/>
      <c r="H1020" s="24"/>
    </row>
    <row r="1021" spans="2:8" x14ac:dyDescent="0.25">
      <c r="B1021" s="21" t="str" cm="1">
        <f t="array" aca="1" ref="B10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1" s="22" t="str" cm="1">
        <f t="array" aca="1" ref="C10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A1021, "'!C:C")),"NOK"))&gt;0, "NOK", "Pending....")),"")</f>
        <v/>
      </c>
      <c r="D1021" s="24"/>
      <c r="E1021" s="24"/>
      <c r="F1021" s="24"/>
      <c r="G1021" s="29"/>
      <c r="H1021" s="24"/>
    </row>
    <row r="1022" spans="2:8" x14ac:dyDescent="0.25">
      <c r="B1022" s="21" t="str" cm="1">
        <f t="array" aca="1" ref="B10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2" s="22" t="str" cm="1">
        <f t="array" aca="1" ref="C10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A1022, "'!C:C")),"NOK"))&gt;0, "NOK", "Pending....")),"")</f>
        <v/>
      </c>
      <c r="D1022" s="24"/>
      <c r="E1022" s="24"/>
      <c r="F1022" s="24"/>
      <c r="G1022" s="29"/>
      <c r="H1022" s="24"/>
    </row>
    <row r="1023" spans="2:8" x14ac:dyDescent="0.25">
      <c r="B1023" s="21" t="str" cm="1">
        <f t="array" aca="1" ref="B10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3" s="22" t="str" cm="1">
        <f t="array" aca="1" ref="C10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A1023, "'!C:C")),"NOK"))&gt;0, "NOK", "Pending....")),"")</f>
        <v/>
      </c>
      <c r="D1023" s="24"/>
      <c r="E1023" s="24"/>
      <c r="F1023" s="24"/>
      <c r="G1023" s="29"/>
      <c r="H1023" s="24"/>
    </row>
    <row r="1024" spans="2:8" x14ac:dyDescent="0.25">
      <c r="B1024" s="21" t="str" cm="1">
        <f t="array" aca="1" ref="B10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4" s="22" t="str" cm="1">
        <f t="array" aca="1" ref="C10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A1024, "'!C:C")),"NOK"))&gt;0, "NOK", "Pending....")),"")</f>
        <v/>
      </c>
      <c r="D1024" s="24"/>
      <c r="E1024" s="24"/>
      <c r="F1024" s="24"/>
      <c r="G1024" s="29"/>
      <c r="H1024" s="24"/>
    </row>
    <row r="1025" spans="2:8" x14ac:dyDescent="0.25">
      <c r="B1025" s="21" t="str" cm="1">
        <f t="array" aca="1" ref="B10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5" s="22" t="str" cm="1">
        <f t="array" aca="1" ref="C10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A1025, "'!C:C")),"NOK"))&gt;0, "NOK", "Pending....")),"")</f>
        <v/>
      </c>
      <c r="D1025" s="24"/>
      <c r="E1025" s="24"/>
      <c r="F1025" s="24"/>
      <c r="G1025" s="29"/>
      <c r="H1025" s="24"/>
    </row>
    <row r="1026" spans="2:8" x14ac:dyDescent="0.25">
      <c r="B1026" s="21" t="str" cm="1">
        <f t="array" aca="1" ref="B10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6" s="22" t="str" cm="1">
        <f t="array" aca="1" ref="C10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A1026, "'!C:C")),"NOK"))&gt;0, "NOK", "Pending....")),"")</f>
        <v/>
      </c>
      <c r="D1026" s="24"/>
      <c r="E1026" s="24"/>
      <c r="F1026" s="24"/>
      <c r="G1026" s="29"/>
      <c r="H1026" s="24"/>
    </row>
    <row r="1027" spans="2:8" x14ac:dyDescent="0.25">
      <c r="B1027" s="21" t="str" cm="1">
        <f t="array" aca="1" ref="B10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7" s="22" t="str" cm="1">
        <f t="array" aca="1" ref="C10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A1027, "'!C:C")),"NOK"))&gt;0, "NOK", "Pending....")),"")</f>
        <v/>
      </c>
      <c r="D1027" s="24"/>
      <c r="E1027" s="24"/>
      <c r="F1027" s="24"/>
      <c r="G1027" s="29"/>
      <c r="H1027" s="24"/>
    </row>
    <row r="1028" spans="2:8" x14ac:dyDescent="0.25">
      <c r="B1028" s="21" t="str" cm="1">
        <f t="array" aca="1" ref="B10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8" s="22" t="str" cm="1">
        <f t="array" aca="1" ref="C10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A1028, "'!C:C")),"NOK"))&gt;0, "NOK", "Pending....")),"")</f>
        <v/>
      </c>
      <c r="D1028" s="24"/>
      <c r="E1028" s="24"/>
      <c r="F1028" s="24"/>
      <c r="G1028" s="29"/>
      <c r="H1028" s="24"/>
    </row>
    <row r="1029" spans="2:8" x14ac:dyDescent="0.25">
      <c r="B1029" s="21" t="str" cm="1">
        <f t="array" aca="1" ref="B10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29" s="22" t="str" cm="1">
        <f t="array" aca="1" ref="C10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A1029, "'!C:C")),"NOK"))&gt;0, "NOK", "Pending....")),"")</f>
        <v/>
      </c>
      <c r="D1029" s="24"/>
      <c r="E1029" s="24"/>
      <c r="F1029" s="24"/>
      <c r="G1029" s="29"/>
      <c r="H1029" s="24"/>
    </row>
    <row r="1030" spans="2:8" x14ac:dyDescent="0.25">
      <c r="B1030" s="21" t="str" cm="1">
        <f t="array" aca="1" ref="B10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0" s="22" t="str" cm="1">
        <f t="array" aca="1" ref="C10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A1030, "'!C:C")),"NOK"))&gt;0, "NOK", "Pending....")),"")</f>
        <v/>
      </c>
      <c r="D1030" s="24"/>
      <c r="E1030" s="24"/>
      <c r="F1030" s="24"/>
      <c r="G1030" s="29"/>
      <c r="H1030" s="24"/>
    </row>
    <row r="1031" spans="2:8" x14ac:dyDescent="0.25">
      <c r="B1031" s="21" t="str" cm="1">
        <f t="array" aca="1" ref="B10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1" s="22" t="str" cm="1">
        <f t="array" aca="1" ref="C10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A1031, "'!C:C")),"NOK"))&gt;0, "NOK", "Pending....")),"")</f>
        <v/>
      </c>
      <c r="D1031" s="24"/>
      <c r="E1031" s="24"/>
      <c r="F1031" s="24"/>
      <c r="G1031" s="29"/>
      <c r="H1031" s="24"/>
    </row>
    <row r="1032" spans="2:8" x14ac:dyDescent="0.25">
      <c r="B1032" s="21" t="str" cm="1">
        <f t="array" aca="1" ref="B10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2" s="22" t="str" cm="1">
        <f t="array" aca="1" ref="C10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A1032, "'!C:C")),"NOK"))&gt;0, "NOK", "Pending....")),"")</f>
        <v/>
      </c>
      <c r="D1032" s="24"/>
      <c r="E1032" s="24"/>
      <c r="F1032" s="24"/>
      <c r="G1032" s="29"/>
      <c r="H1032" s="24"/>
    </row>
    <row r="1033" spans="2:8" x14ac:dyDescent="0.25">
      <c r="B1033" s="21" t="str" cm="1">
        <f t="array" aca="1" ref="B10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3" s="22" t="str" cm="1">
        <f t="array" aca="1" ref="C10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A1033, "'!C:C")),"NOK"))&gt;0, "NOK", "Pending....")),"")</f>
        <v/>
      </c>
      <c r="D1033" s="24"/>
      <c r="E1033" s="24"/>
      <c r="F1033" s="24"/>
      <c r="G1033" s="29"/>
      <c r="H1033" s="24"/>
    </row>
    <row r="1034" spans="2:8" x14ac:dyDescent="0.25">
      <c r="B1034" s="21" t="str" cm="1">
        <f t="array" aca="1" ref="B10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4" s="22" t="str" cm="1">
        <f t="array" aca="1" ref="C10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A1034, "'!C:C")),"NOK"))&gt;0, "NOK", "Pending....")),"")</f>
        <v/>
      </c>
      <c r="D1034" s="24"/>
      <c r="E1034" s="24"/>
      <c r="F1034" s="24"/>
      <c r="G1034" s="29"/>
      <c r="H1034" s="24"/>
    </row>
    <row r="1035" spans="2:8" x14ac:dyDescent="0.25">
      <c r="B1035" s="21" t="str" cm="1">
        <f t="array" aca="1" ref="B10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5" s="22" t="str" cm="1">
        <f t="array" aca="1" ref="C10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A1035, "'!C:C")),"NOK"))&gt;0, "NOK", "Pending....")),"")</f>
        <v/>
      </c>
      <c r="D1035" s="24"/>
      <c r="E1035" s="24"/>
      <c r="F1035" s="24"/>
      <c r="G1035" s="29"/>
      <c r="H1035" s="24"/>
    </row>
    <row r="1036" spans="2:8" x14ac:dyDescent="0.25">
      <c r="B1036" s="21" t="str" cm="1">
        <f t="array" aca="1" ref="B10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6" s="22" t="str" cm="1">
        <f t="array" aca="1" ref="C10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A1036, "'!C:C")),"NOK"))&gt;0, "NOK", "Pending....")),"")</f>
        <v/>
      </c>
      <c r="D1036" s="24"/>
      <c r="E1036" s="24"/>
      <c r="F1036" s="24"/>
      <c r="G1036" s="29"/>
      <c r="H1036" s="24"/>
    </row>
    <row r="1037" spans="2:8" x14ac:dyDescent="0.25">
      <c r="B1037" s="21" t="str" cm="1">
        <f t="array" aca="1" ref="B10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7" s="22" t="str" cm="1">
        <f t="array" aca="1" ref="C10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A1037, "'!C:C")),"NOK"))&gt;0, "NOK", "Pending....")),"")</f>
        <v/>
      </c>
      <c r="D1037" s="24"/>
      <c r="E1037" s="24"/>
      <c r="F1037" s="24"/>
      <c r="G1037" s="29"/>
      <c r="H1037" s="24"/>
    </row>
    <row r="1038" spans="2:8" x14ac:dyDescent="0.25">
      <c r="B1038" s="21" t="str" cm="1">
        <f t="array" aca="1" ref="B10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8" s="22" t="str" cm="1">
        <f t="array" aca="1" ref="C10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A1038, "'!C:C")),"NOK"))&gt;0, "NOK", "Pending....")),"")</f>
        <v/>
      </c>
      <c r="D1038" s="24"/>
      <c r="E1038" s="24"/>
      <c r="F1038" s="24"/>
      <c r="G1038" s="29"/>
      <c r="H1038" s="24"/>
    </row>
    <row r="1039" spans="2:8" x14ac:dyDescent="0.25">
      <c r="B1039" s="21" t="str" cm="1">
        <f t="array" aca="1" ref="B10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39" s="22" t="str" cm="1">
        <f t="array" aca="1" ref="C10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A1039, "'!C:C")),"NOK"))&gt;0, "NOK", "Pending....")),"")</f>
        <v/>
      </c>
      <c r="D1039" s="24"/>
      <c r="E1039" s="24"/>
      <c r="F1039" s="24"/>
      <c r="G1039" s="29"/>
      <c r="H1039" s="24"/>
    </row>
    <row r="1040" spans="2:8" x14ac:dyDescent="0.25">
      <c r="B1040" s="21" t="str" cm="1">
        <f t="array" aca="1" ref="B10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0" s="22" t="str" cm="1">
        <f t="array" aca="1" ref="C10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A1040, "'!C:C")),"NOK"))&gt;0, "NOK", "Pending....")),"")</f>
        <v/>
      </c>
      <c r="D1040" s="24"/>
      <c r="E1040" s="24"/>
      <c r="F1040" s="24"/>
      <c r="G1040" s="29"/>
      <c r="H1040" s="24"/>
    </row>
    <row r="1041" spans="2:8" x14ac:dyDescent="0.25">
      <c r="B1041" s="21" t="str" cm="1">
        <f t="array" aca="1" ref="B10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1" s="22" t="str" cm="1">
        <f t="array" aca="1" ref="C10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A1041, "'!C:C")),"NOK"))&gt;0, "NOK", "Pending....")),"")</f>
        <v/>
      </c>
      <c r="D1041" s="24"/>
      <c r="E1041" s="24"/>
      <c r="F1041" s="24"/>
      <c r="G1041" s="29"/>
      <c r="H1041" s="24"/>
    </row>
    <row r="1042" spans="2:8" x14ac:dyDescent="0.25">
      <c r="B1042" s="21" t="str" cm="1">
        <f t="array" aca="1" ref="B10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2" s="22" t="str" cm="1">
        <f t="array" aca="1" ref="C10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A1042, "'!C:C")),"NOK"))&gt;0, "NOK", "Pending....")),"")</f>
        <v/>
      </c>
      <c r="D1042" s="24"/>
      <c r="E1042" s="24"/>
      <c r="F1042" s="24"/>
      <c r="G1042" s="29"/>
      <c r="H1042" s="24"/>
    </row>
    <row r="1043" spans="2:8" x14ac:dyDescent="0.25">
      <c r="B1043" s="21" t="str" cm="1">
        <f t="array" aca="1" ref="B10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3" s="22" t="str" cm="1">
        <f t="array" aca="1" ref="C10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A1043, "'!C:C")),"NOK"))&gt;0, "NOK", "Pending....")),"")</f>
        <v/>
      </c>
      <c r="D1043" s="24"/>
      <c r="E1043" s="24"/>
      <c r="F1043" s="24"/>
      <c r="G1043" s="29"/>
      <c r="H1043" s="24"/>
    </row>
    <row r="1044" spans="2:8" x14ac:dyDescent="0.25">
      <c r="B1044" s="21" t="str" cm="1">
        <f t="array" aca="1" ref="B10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4" s="22" t="str" cm="1">
        <f t="array" aca="1" ref="C10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A1044, "'!C:C")),"NOK"))&gt;0, "NOK", "Pending....")),"")</f>
        <v/>
      </c>
      <c r="D1044" s="24"/>
      <c r="E1044" s="24"/>
      <c r="F1044" s="24"/>
      <c r="G1044" s="29"/>
      <c r="H1044" s="24"/>
    </row>
    <row r="1045" spans="2:8" x14ac:dyDescent="0.25">
      <c r="B1045" s="21" t="str" cm="1">
        <f t="array" aca="1" ref="B10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5" s="22" t="str" cm="1">
        <f t="array" aca="1" ref="C10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A1045, "'!C:C")),"NOK"))&gt;0, "NOK", "Pending....")),"")</f>
        <v/>
      </c>
      <c r="D1045" s="24"/>
      <c r="E1045" s="24"/>
      <c r="F1045" s="24"/>
      <c r="G1045" s="29"/>
      <c r="H1045" s="24"/>
    </row>
    <row r="1046" spans="2:8" x14ac:dyDescent="0.25">
      <c r="B1046" s="21" t="str" cm="1">
        <f t="array" aca="1" ref="B10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6" s="22" t="str" cm="1">
        <f t="array" aca="1" ref="C10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A1046, "'!C:C")),"NOK"))&gt;0, "NOK", "Pending....")),"")</f>
        <v/>
      </c>
      <c r="D1046" s="24"/>
      <c r="E1046" s="24"/>
      <c r="F1046" s="24"/>
      <c r="G1046" s="29"/>
      <c r="H1046" s="24"/>
    </row>
    <row r="1047" spans="2:8" x14ac:dyDescent="0.25">
      <c r="B1047" s="21" t="str" cm="1">
        <f t="array" aca="1" ref="B10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7" s="22" t="str" cm="1">
        <f t="array" aca="1" ref="C10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A1047, "'!C:C")),"NOK"))&gt;0, "NOK", "Pending....")),"")</f>
        <v/>
      </c>
      <c r="D1047" s="24"/>
      <c r="E1047" s="24"/>
      <c r="F1047" s="24"/>
      <c r="G1047" s="29"/>
      <c r="H1047" s="24"/>
    </row>
    <row r="1048" spans="2:8" x14ac:dyDescent="0.25">
      <c r="B1048" s="21" t="str" cm="1">
        <f t="array" aca="1" ref="B10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8" s="22" t="str" cm="1">
        <f t="array" aca="1" ref="C10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A1048, "'!C:C")),"NOK"))&gt;0, "NOK", "Pending....")),"")</f>
        <v/>
      </c>
      <c r="D1048" s="24"/>
      <c r="E1048" s="24"/>
      <c r="F1048" s="24"/>
      <c r="G1048" s="29"/>
      <c r="H1048" s="24"/>
    </row>
    <row r="1049" spans="2:8" x14ac:dyDescent="0.25">
      <c r="B1049" s="21" t="str" cm="1">
        <f t="array" aca="1" ref="B10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49" s="22" t="str" cm="1">
        <f t="array" aca="1" ref="C10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A1049, "'!C:C")),"NOK"))&gt;0, "NOK", "Pending....")),"")</f>
        <v/>
      </c>
      <c r="D1049" s="24"/>
      <c r="E1049" s="24"/>
      <c r="F1049" s="24"/>
      <c r="G1049" s="29"/>
      <c r="H1049" s="24"/>
    </row>
    <row r="1050" spans="2:8" x14ac:dyDescent="0.25">
      <c r="B1050" s="21" t="str" cm="1">
        <f t="array" aca="1" ref="B10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0" s="22" t="str" cm="1">
        <f t="array" aca="1" ref="C10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A1050, "'!C:C")),"NOK"))&gt;0, "NOK", "Pending....")),"")</f>
        <v/>
      </c>
      <c r="D1050" s="24"/>
      <c r="E1050" s="24"/>
      <c r="F1050" s="24"/>
      <c r="G1050" s="29"/>
      <c r="H1050" s="24"/>
    </row>
    <row r="1051" spans="2:8" x14ac:dyDescent="0.25">
      <c r="B1051" s="21" t="str" cm="1">
        <f t="array" aca="1" ref="B10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1" s="22" t="str" cm="1">
        <f t="array" aca="1" ref="C10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A1051, "'!C:C")),"NOK"))&gt;0, "NOK", "Pending....")),"")</f>
        <v/>
      </c>
      <c r="D1051" s="24"/>
      <c r="E1051" s="24"/>
      <c r="F1051" s="24"/>
      <c r="G1051" s="29"/>
      <c r="H1051" s="24"/>
    </row>
    <row r="1052" spans="2:8" x14ac:dyDescent="0.25">
      <c r="B1052" s="21" t="str" cm="1">
        <f t="array" aca="1" ref="B10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2" s="22" t="str" cm="1">
        <f t="array" aca="1" ref="C10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A1052, "'!C:C")),"NOK"))&gt;0, "NOK", "Pending....")),"")</f>
        <v/>
      </c>
      <c r="D1052" s="24"/>
      <c r="E1052" s="24"/>
      <c r="F1052" s="24"/>
      <c r="G1052" s="29"/>
      <c r="H1052" s="24"/>
    </row>
    <row r="1053" spans="2:8" x14ac:dyDescent="0.25">
      <c r="B1053" s="21" t="str" cm="1">
        <f t="array" aca="1" ref="B10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3" s="22" t="str" cm="1">
        <f t="array" aca="1" ref="C10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A1053, "'!C:C")),"NOK"))&gt;0, "NOK", "Pending....")),"")</f>
        <v/>
      </c>
      <c r="D1053" s="24"/>
      <c r="E1053" s="24"/>
      <c r="F1053" s="24"/>
      <c r="G1053" s="29"/>
      <c r="H1053" s="24"/>
    </row>
    <row r="1054" spans="2:8" x14ac:dyDescent="0.25">
      <c r="B1054" s="21" t="str" cm="1">
        <f t="array" aca="1" ref="B10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4" s="22" t="str" cm="1">
        <f t="array" aca="1" ref="C10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A1054, "'!C:C")),"NOK"))&gt;0, "NOK", "Pending....")),"")</f>
        <v/>
      </c>
      <c r="D1054" s="24"/>
      <c r="E1054" s="24"/>
      <c r="F1054" s="24"/>
      <c r="G1054" s="29"/>
      <c r="H1054" s="24"/>
    </row>
    <row r="1055" spans="2:8" x14ac:dyDescent="0.25">
      <c r="B1055" s="21" t="str" cm="1">
        <f t="array" aca="1" ref="B10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5" s="22" t="str" cm="1">
        <f t="array" aca="1" ref="C10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A1055, "'!C:C")),"NOK"))&gt;0, "NOK", "Pending....")),"")</f>
        <v/>
      </c>
      <c r="D1055" s="24"/>
      <c r="E1055" s="24"/>
      <c r="F1055" s="24"/>
      <c r="G1055" s="29"/>
      <c r="H1055" s="24"/>
    </row>
    <row r="1056" spans="2:8" x14ac:dyDescent="0.25">
      <c r="B1056" s="21" t="str" cm="1">
        <f t="array" aca="1" ref="B10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6" s="22" t="str" cm="1">
        <f t="array" aca="1" ref="C10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A1056, "'!C:C")),"NOK"))&gt;0, "NOK", "Pending....")),"")</f>
        <v/>
      </c>
      <c r="D1056" s="24"/>
      <c r="E1056" s="24"/>
      <c r="F1056" s="24"/>
      <c r="G1056" s="29"/>
      <c r="H1056" s="24"/>
    </row>
    <row r="1057" spans="2:8" x14ac:dyDescent="0.25">
      <c r="B1057" s="21" t="str" cm="1">
        <f t="array" aca="1" ref="B10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7" s="22" t="str" cm="1">
        <f t="array" aca="1" ref="C10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A1057, "'!C:C")),"NOK"))&gt;0, "NOK", "Pending....")),"")</f>
        <v/>
      </c>
      <c r="D1057" s="24"/>
      <c r="E1057" s="24"/>
      <c r="F1057" s="24"/>
      <c r="G1057" s="29"/>
      <c r="H1057" s="24"/>
    </row>
    <row r="1058" spans="2:8" x14ac:dyDescent="0.25">
      <c r="B1058" s="21" t="str" cm="1">
        <f t="array" aca="1" ref="B10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8" s="22" t="str" cm="1">
        <f t="array" aca="1" ref="C10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A1058, "'!C:C")),"NOK"))&gt;0, "NOK", "Pending....")),"")</f>
        <v/>
      </c>
      <c r="D1058" s="24"/>
      <c r="E1058" s="24"/>
      <c r="F1058" s="24"/>
      <c r="G1058" s="29"/>
      <c r="H1058" s="24"/>
    </row>
    <row r="1059" spans="2:8" x14ac:dyDescent="0.25">
      <c r="B1059" s="21" t="str" cm="1">
        <f t="array" aca="1" ref="B10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59" s="22" t="str" cm="1">
        <f t="array" aca="1" ref="C10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A1059, "'!C:C")),"NOK"))&gt;0, "NOK", "Pending....")),"")</f>
        <v/>
      </c>
      <c r="D1059" s="24"/>
      <c r="E1059" s="24"/>
      <c r="F1059" s="24"/>
      <c r="G1059" s="29"/>
      <c r="H1059" s="24"/>
    </row>
    <row r="1060" spans="2:8" x14ac:dyDescent="0.25">
      <c r="B1060" s="21" t="str" cm="1">
        <f t="array" aca="1" ref="B10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0" s="22" t="str" cm="1">
        <f t="array" aca="1" ref="C10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A1060, "'!C:C")),"NOK"))&gt;0, "NOK", "Pending....")),"")</f>
        <v/>
      </c>
      <c r="D1060" s="24"/>
      <c r="E1060" s="24"/>
      <c r="F1060" s="24"/>
      <c r="G1060" s="29"/>
      <c r="H1060" s="24"/>
    </row>
    <row r="1061" spans="2:8" x14ac:dyDescent="0.25">
      <c r="B1061" s="21" t="str" cm="1">
        <f t="array" aca="1" ref="B10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1" s="22" t="str" cm="1">
        <f t="array" aca="1" ref="C10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A1061, "'!C:C")),"NOK"))&gt;0, "NOK", "Pending....")),"")</f>
        <v/>
      </c>
      <c r="D1061" s="24"/>
      <c r="E1061" s="24"/>
      <c r="F1061" s="24"/>
      <c r="G1061" s="29"/>
      <c r="H1061" s="24"/>
    </row>
    <row r="1062" spans="2:8" x14ac:dyDescent="0.25">
      <c r="B1062" s="21" t="str" cm="1">
        <f t="array" aca="1" ref="B10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2" s="22" t="str" cm="1">
        <f t="array" aca="1" ref="C10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A1062, "'!C:C")),"NOK"))&gt;0, "NOK", "Pending....")),"")</f>
        <v/>
      </c>
      <c r="D1062" s="24"/>
      <c r="E1062" s="24"/>
      <c r="F1062" s="24"/>
      <c r="G1062" s="29"/>
      <c r="H1062" s="24"/>
    </row>
    <row r="1063" spans="2:8" x14ac:dyDescent="0.25">
      <c r="B1063" s="21" t="str" cm="1">
        <f t="array" aca="1" ref="B10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3" s="22" t="str" cm="1">
        <f t="array" aca="1" ref="C10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A1063, "'!C:C")),"NOK"))&gt;0, "NOK", "Pending....")),"")</f>
        <v/>
      </c>
      <c r="D1063" s="24"/>
      <c r="E1063" s="24"/>
      <c r="F1063" s="24"/>
      <c r="G1063" s="29"/>
      <c r="H1063" s="24"/>
    </row>
    <row r="1064" spans="2:8" x14ac:dyDescent="0.25">
      <c r="B1064" s="21" t="str" cm="1">
        <f t="array" aca="1" ref="B10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4" s="22" t="str" cm="1">
        <f t="array" aca="1" ref="C10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A1064, "'!C:C")),"NOK"))&gt;0, "NOK", "Pending....")),"")</f>
        <v/>
      </c>
      <c r="D1064" s="24"/>
      <c r="E1064" s="24"/>
      <c r="F1064" s="24"/>
      <c r="G1064" s="29"/>
      <c r="H1064" s="24"/>
    </row>
    <row r="1065" spans="2:8" x14ac:dyDescent="0.25">
      <c r="B1065" s="21" t="str" cm="1">
        <f t="array" aca="1" ref="B10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5" s="22" t="str" cm="1">
        <f t="array" aca="1" ref="C10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A1065, "'!C:C")),"NOK"))&gt;0, "NOK", "Pending....")),"")</f>
        <v/>
      </c>
      <c r="D1065" s="24"/>
      <c r="E1065" s="24"/>
      <c r="F1065" s="24"/>
      <c r="G1065" s="29"/>
      <c r="H1065" s="24"/>
    </row>
    <row r="1066" spans="2:8" x14ac:dyDescent="0.25">
      <c r="B1066" s="21" t="str" cm="1">
        <f t="array" aca="1" ref="B10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6" s="22" t="str" cm="1">
        <f t="array" aca="1" ref="C10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A1066, "'!C:C")),"NOK"))&gt;0, "NOK", "Pending....")),"")</f>
        <v/>
      </c>
      <c r="D1066" s="24"/>
      <c r="E1066" s="24"/>
      <c r="F1066" s="24"/>
      <c r="G1066" s="29"/>
      <c r="H1066" s="24"/>
    </row>
    <row r="1067" spans="2:8" x14ac:dyDescent="0.25">
      <c r="B1067" s="21" t="str" cm="1">
        <f t="array" aca="1" ref="B10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7" s="22" t="str" cm="1">
        <f t="array" aca="1" ref="C10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A1067, "'!C:C")),"NOK"))&gt;0, "NOK", "Pending....")),"")</f>
        <v/>
      </c>
      <c r="D1067" s="24"/>
      <c r="E1067" s="24"/>
      <c r="F1067" s="24"/>
      <c r="G1067" s="29"/>
      <c r="H1067" s="24"/>
    </row>
    <row r="1068" spans="2:8" x14ac:dyDescent="0.25">
      <c r="B1068" s="21" t="str" cm="1">
        <f t="array" aca="1" ref="B10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8" s="22" t="str" cm="1">
        <f t="array" aca="1" ref="C10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A1068, "'!C:C")),"NOK"))&gt;0, "NOK", "Pending....")),"")</f>
        <v/>
      </c>
      <c r="D1068" s="24"/>
      <c r="E1068" s="24"/>
      <c r="F1068" s="24"/>
      <c r="G1068" s="29"/>
      <c r="H1068" s="24"/>
    </row>
    <row r="1069" spans="2:8" x14ac:dyDescent="0.25">
      <c r="B1069" s="21" t="str" cm="1">
        <f t="array" aca="1" ref="B10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69" s="22" t="str" cm="1">
        <f t="array" aca="1" ref="C10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A1069, "'!C:C")),"NOK"))&gt;0, "NOK", "Pending....")),"")</f>
        <v/>
      </c>
      <c r="D1069" s="24"/>
      <c r="E1069" s="24"/>
      <c r="F1069" s="24"/>
      <c r="G1069" s="29"/>
      <c r="H1069" s="24"/>
    </row>
    <row r="1070" spans="2:8" x14ac:dyDescent="0.25">
      <c r="B1070" s="21" t="str" cm="1">
        <f t="array" aca="1" ref="B10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0" s="22" t="str" cm="1">
        <f t="array" aca="1" ref="C10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A1070, "'!C:C")),"NOK"))&gt;0, "NOK", "Pending....")),"")</f>
        <v/>
      </c>
      <c r="D1070" s="24"/>
      <c r="E1070" s="24"/>
      <c r="F1070" s="24"/>
      <c r="G1070" s="29"/>
      <c r="H1070" s="24"/>
    </row>
    <row r="1071" spans="2:8" x14ac:dyDescent="0.25">
      <c r="B1071" s="21" t="str" cm="1">
        <f t="array" aca="1" ref="B10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1" s="22" t="str" cm="1">
        <f t="array" aca="1" ref="C10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A1071, "'!C:C")),"NOK"))&gt;0, "NOK", "Pending....")),"")</f>
        <v/>
      </c>
      <c r="D1071" s="24"/>
      <c r="E1071" s="24"/>
      <c r="F1071" s="24"/>
      <c r="G1071" s="29"/>
      <c r="H1071" s="24"/>
    </row>
    <row r="1072" spans="2:8" x14ac:dyDescent="0.25">
      <c r="B1072" s="21" t="str" cm="1">
        <f t="array" aca="1" ref="B10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2" s="22" t="str" cm="1">
        <f t="array" aca="1" ref="C10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A1072, "'!C:C")),"NOK"))&gt;0, "NOK", "Pending....")),"")</f>
        <v/>
      </c>
      <c r="D1072" s="24"/>
      <c r="E1072" s="24"/>
      <c r="F1072" s="24"/>
      <c r="G1072" s="29"/>
      <c r="H1072" s="24"/>
    </row>
    <row r="1073" spans="2:8" x14ac:dyDescent="0.25">
      <c r="B1073" s="21" t="str" cm="1">
        <f t="array" aca="1" ref="B10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3" s="22" t="str" cm="1">
        <f t="array" aca="1" ref="C10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A1073, "'!C:C")),"NOK"))&gt;0, "NOK", "Pending....")),"")</f>
        <v/>
      </c>
      <c r="D1073" s="24"/>
      <c r="E1073" s="24"/>
      <c r="F1073" s="24"/>
      <c r="G1073" s="29"/>
      <c r="H1073" s="24"/>
    </row>
    <row r="1074" spans="2:8" x14ac:dyDescent="0.25">
      <c r="B1074" s="21" t="str" cm="1">
        <f t="array" aca="1" ref="B10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4" s="22" t="str" cm="1">
        <f t="array" aca="1" ref="C10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A1074, "'!C:C")),"NOK"))&gt;0, "NOK", "Pending....")),"")</f>
        <v/>
      </c>
      <c r="D1074" s="24"/>
      <c r="E1074" s="24"/>
      <c r="F1074" s="24"/>
      <c r="G1074" s="29"/>
      <c r="H1074" s="24"/>
    </row>
    <row r="1075" spans="2:8" x14ac:dyDescent="0.25">
      <c r="B1075" s="21" t="str" cm="1">
        <f t="array" aca="1" ref="B10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5" s="22" t="str" cm="1">
        <f t="array" aca="1" ref="C10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A1075, "'!C:C")),"NOK"))&gt;0, "NOK", "Pending....")),"")</f>
        <v/>
      </c>
      <c r="D1075" s="24"/>
      <c r="E1075" s="24"/>
      <c r="F1075" s="24"/>
      <c r="G1075" s="29"/>
      <c r="H1075" s="24"/>
    </row>
    <row r="1076" spans="2:8" x14ac:dyDescent="0.25">
      <c r="B1076" s="21" t="str" cm="1">
        <f t="array" aca="1" ref="B10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6" s="22" t="str" cm="1">
        <f t="array" aca="1" ref="C10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A1076, "'!C:C")),"NOK"))&gt;0, "NOK", "Pending....")),"")</f>
        <v/>
      </c>
      <c r="D1076" s="24"/>
      <c r="E1076" s="24"/>
      <c r="F1076" s="24"/>
      <c r="G1076" s="29"/>
      <c r="H1076" s="24"/>
    </row>
    <row r="1077" spans="2:8" x14ac:dyDescent="0.25">
      <c r="B1077" s="21" t="str" cm="1">
        <f t="array" aca="1" ref="B10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7" s="22" t="str" cm="1">
        <f t="array" aca="1" ref="C10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A1077, "'!C:C")),"NOK"))&gt;0, "NOK", "Pending....")),"")</f>
        <v/>
      </c>
      <c r="D1077" s="24"/>
      <c r="E1077" s="24"/>
      <c r="F1077" s="24"/>
      <c r="G1077" s="29"/>
      <c r="H1077" s="24"/>
    </row>
    <row r="1078" spans="2:8" x14ac:dyDescent="0.25">
      <c r="B1078" s="21" t="str" cm="1">
        <f t="array" aca="1" ref="B10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8" s="22" t="str" cm="1">
        <f t="array" aca="1" ref="C10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A1078, "'!C:C")),"NOK"))&gt;0, "NOK", "Pending....")),"")</f>
        <v/>
      </c>
      <c r="D1078" s="24"/>
      <c r="E1078" s="24"/>
      <c r="F1078" s="24"/>
      <c r="G1078" s="29"/>
      <c r="H1078" s="24"/>
    </row>
    <row r="1079" spans="2:8" x14ac:dyDescent="0.25">
      <c r="B1079" s="21" t="str" cm="1">
        <f t="array" aca="1" ref="B10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79" s="22" t="str" cm="1">
        <f t="array" aca="1" ref="C10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A1079, "'!C:C")),"NOK"))&gt;0, "NOK", "Pending....")),"")</f>
        <v/>
      </c>
      <c r="D1079" s="24"/>
      <c r="E1079" s="24"/>
      <c r="F1079" s="24"/>
      <c r="G1079" s="29"/>
      <c r="H1079" s="24"/>
    </row>
    <row r="1080" spans="2:8" x14ac:dyDescent="0.25">
      <c r="B1080" s="21" t="str" cm="1">
        <f t="array" aca="1" ref="B10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0" s="22" t="str" cm="1">
        <f t="array" aca="1" ref="C10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A1080, "'!C:C")),"NOK"))&gt;0, "NOK", "Pending....")),"")</f>
        <v/>
      </c>
      <c r="D1080" s="24"/>
      <c r="E1080" s="24"/>
      <c r="F1080" s="24"/>
      <c r="G1080" s="29"/>
      <c r="H1080" s="24"/>
    </row>
    <row r="1081" spans="2:8" x14ac:dyDescent="0.25">
      <c r="B1081" s="21" t="str" cm="1">
        <f t="array" aca="1" ref="B10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1" s="22" t="str" cm="1">
        <f t="array" aca="1" ref="C10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A1081, "'!C:C")),"NOK"))&gt;0, "NOK", "Pending....")),"")</f>
        <v/>
      </c>
      <c r="D1081" s="24"/>
      <c r="E1081" s="24"/>
      <c r="F1081" s="24"/>
      <c r="G1081" s="29"/>
      <c r="H1081" s="24"/>
    </row>
    <row r="1082" spans="2:8" x14ac:dyDescent="0.25">
      <c r="B1082" s="21" t="str" cm="1">
        <f t="array" aca="1" ref="B10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2" s="22" t="str" cm="1">
        <f t="array" aca="1" ref="C10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A1082, "'!C:C")),"NOK"))&gt;0, "NOK", "Pending....")),"")</f>
        <v/>
      </c>
      <c r="D1082" s="24"/>
      <c r="E1082" s="24"/>
      <c r="F1082" s="24"/>
      <c r="G1082" s="29"/>
      <c r="H1082" s="24"/>
    </row>
    <row r="1083" spans="2:8" x14ac:dyDescent="0.25">
      <c r="B1083" s="21" t="str" cm="1">
        <f t="array" aca="1" ref="B10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3" s="22" t="str" cm="1">
        <f t="array" aca="1" ref="C10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A1083, "'!C:C")),"NOK"))&gt;0, "NOK", "Pending....")),"")</f>
        <v/>
      </c>
      <c r="D1083" s="24"/>
      <c r="E1083" s="24"/>
      <c r="F1083" s="24"/>
      <c r="G1083" s="29"/>
      <c r="H1083" s="24"/>
    </row>
    <row r="1084" spans="2:8" x14ac:dyDescent="0.25">
      <c r="B1084" s="21" t="str" cm="1">
        <f t="array" aca="1" ref="B10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4" s="22" t="str" cm="1">
        <f t="array" aca="1" ref="C10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A1084, "'!C:C")),"NOK"))&gt;0, "NOK", "Pending....")),"")</f>
        <v/>
      </c>
      <c r="D1084" s="24"/>
      <c r="E1084" s="24"/>
      <c r="F1084" s="24"/>
      <c r="G1084" s="29"/>
      <c r="H1084" s="24"/>
    </row>
    <row r="1085" spans="2:8" x14ac:dyDescent="0.25">
      <c r="B1085" s="21" t="str" cm="1">
        <f t="array" aca="1" ref="B10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5" s="22" t="str" cm="1">
        <f t="array" aca="1" ref="C10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A1085, "'!C:C")),"NOK"))&gt;0, "NOK", "Pending....")),"")</f>
        <v/>
      </c>
      <c r="D1085" s="24"/>
      <c r="E1085" s="24"/>
      <c r="F1085" s="24"/>
      <c r="G1085" s="29"/>
      <c r="H1085" s="24"/>
    </row>
    <row r="1086" spans="2:8" x14ac:dyDescent="0.25">
      <c r="B1086" s="21" t="str" cm="1">
        <f t="array" aca="1" ref="B10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6" s="22" t="str" cm="1">
        <f t="array" aca="1" ref="C10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A1086, "'!C:C")),"NOK"))&gt;0, "NOK", "Pending....")),"")</f>
        <v/>
      </c>
      <c r="D1086" s="24"/>
      <c r="E1086" s="24"/>
      <c r="F1086" s="24"/>
      <c r="G1086" s="29"/>
      <c r="H1086" s="24"/>
    </row>
    <row r="1087" spans="2:8" x14ac:dyDescent="0.25">
      <c r="B1087" s="21" t="str" cm="1">
        <f t="array" aca="1" ref="B10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7" s="22" t="str" cm="1">
        <f t="array" aca="1" ref="C10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A1087, "'!C:C")),"NOK"))&gt;0, "NOK", "Pending....")),"")</f>
        <v/>
      </c>
      <c r="D1087" s="24"/>
      <c r="E1087" s="24"/>
      <c r="F1087" s="24"/>
      <c r="G1087" s="29"/>
      <c r="H1087" s="24"/>
    </row>
    <row r="1088" spans="2:8" x14ac:dyDescent="0.25">
      <c r="B1088" s="21" t="str" cm="1">
        <f t="array" aca="1" ref="B10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8" s="22" t="str" cm="1">
        <f t="array" aca="1" ref="C10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A1088, "'!C:C")),"NOK"))&gt;0, "NOK", "Pending....")),"")</f>
        <v/>
      </c>
      <c r="D1088" s="24"/>
      <c r="E1088" s="24"/>
      <c r="F1088" s="24"/>
      <c r="G1088" s="29"/>
      <c r="H1088" s="24"/>
    </row>
    <row r="1089" spans="2:8" x14ac:dyDescent="0.25">
      <c r="B1089" s="21" t="str" cm="1">
        <f t="array" aca="1" ref="B10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89" s="22" t="str" cm="1">
        <f t="array" aca="1" ref="C10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A1089, "'!C:C")),"NOK"))&gt;0, "NOK", "Pending....")),"")</f>
        <v/>
      </c>
      <c r="D1089" s="24"/>
      <c r="E1089" s="24"/>
      <c r="F1089" s="24"/>
      <c r="G1089" s="29"/>
      <c r="H1089" s="24"/>
    </row>
    <row r="1090" spans="2:8" x14ac:dyDescent="0.25">
      <c r="B1090" s="21" t="str" cm="1">
        <f t="array" aca="1" ref="B10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0" s="22" t="str" cm="1">
        <f t="array" aca="1" ref="C10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A1090, "'!C:C")),"NOK"))&gt;0, "NOK", "Pending....")),"")</f>
        <v/>
      </c>
      <c r="D1090" s="24"/>
      <c r="E1090" s="24"/>
      <c r="F1090" s="24"/>
      <c r="G1090" s="29"/>
      <c r="H1090" s="24"/>
    </row>
    <row r="1091" spans="2:8" x14ac:dyDescent="0.25">
      <c r="B1091" s="21" t="str" cm="1">
        <f t="array" aca="1" ref="B10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1" s="22" t="str" cm="1">
        <f t="array" aca="1" ref="C10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A1091, "'!C:C")),"NOK"))&gt;0, "NOK", "Pending....")),"")</f>
        <v/>
      </c>
      <c r="D1091" s="24"/>
      <c r="E1091" s="24"/>
      <c r="F1091" s="24"/>
      <c r="G1091" s="29"/>
      <c r="H1091" s="24"/>
    </row>
    <row r="1092" spans="2:8" x14ac:dyDescent="0.25">
      <c r="B1092" s="21" t="str" cm="1">
        <f t="array" aca="1" ref="B10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2" s="22" t="str" cm="1">
        <f t="array" aca="1" ref="C10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A1092, "'!C:C")),"NOK"))&gt;0, "NOK", "Pending....")),"")</f>
        <v/>
      </c>
      <c r="D1092" s="24"/>
      <c r="E1092" s="24"/>
      <c r="F1092" s="24"/>
      <c r="G1092" s="29"/>
      <c r="H1092" s="24"/>
    </row>
    <row r="1093" spans="2:8" x14ac:dyDescent="0.25">
      <c r="B1093" s="21" t="str" cm="1">
        <f t="array" aca="1" ref="B10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3" s="22" t="str" cm="1">
        <f t="array" aca="1" ref="C10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A1093, "'!C:C")),"NOK"))&gt;0, "NOK", "Pending....")),"")</f>
        <v/>
      </c>
      <c r="D1093" s="24"/>
      <c r="E1093" s="24"/>
      <c r="F1093" s="24"/>
      <c r="G1093" s="29"/>
      <c r="H1093" s="24"/>
    </row>
    <row r="1094" spans="2:8" x14ac:dyDescent="0.25">
      <c r="B1094" s="21" t="str" cm="1">
        <f t="array" aca="1" ref="B10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4" s="22" t="str" cm="1">
        <f t="array" aca="1" ref="C10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A1094, "'!C:C")),"NOK"))&gt;0, "NOK", "Pending....")),"")</f>
        <v/>
      </c>
      <c r="D1094" s="24"/>
      <c r="E1094" s="24"/>
      <c r="F1094" s="24"/>
      <c r="G1094" s="29"/>
      <c r="H1094" s="24"/>
    </row>
    <row r="1095" spans="2:8" x14ac:dyDescent="0.25">
      <c r="B1095" s="21" t="str" cm="1">
        <f t="array" aca="1" ref="B10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5" s="22" t="str" cm="1">
        <f t="array" aca="1" ref="C10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A1095, "'!C:C")),"NOK"))&gt;0, "NOK", "Pending....")),"")</f>
        <v/>
      </c>
      <c r="D1095" s="24"/>
      <c r="E1095" s="24"/>
      <c r="F1095" s="24"/>
      <c r="G1095" s="29"/>
      <c r="H1095" s="24"/>
    </row>
    <row r="1096" spans="2:8" x14ac:dyDescent="0.25">
      <c r="B1096" s="21" t="str" cm="1">
        <f t="array" aca="1" ref="B10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6" s="22" t="str" cm="1">
        <f t="array" aca="1" ref="C10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A1096, "'!C:C")),"NOK"))&gt;0, "NOK", "Pending....")),"")</f>
        <v/>
      </c>
      <c r="D1096" s="24"/>
      <c r="E1096" s="24"/>
      <c r="F1096" s="24"/>
      <c r="G1096" s="29"/>
      <c r="H1096" s="24"/>
    </row>
    <row r="1097" spans="2:8" x14ac:dyDescent="0.25">
      <c r="B1097" s="21" t="str" cm="1">
        <f t="array" aca="1" ref="B10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7" s="22" t="str" cm="1">
        <f t="array" aca="1" ref="C10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A1097, "'!C:C")),"NOK"))&gt;0, "NOK", "Pending....")),"")</f>
        <v/>
      </c>
      <c r="D1097" s="24"/>
      <c r="E1097" s="24"/>
      <c r="F1097" s="24"/>
      <c r="G1097" s="29"/>
      <c r="H1097" s="24"/>
    </row>
    <row r="1098" spans="2:8" x14ac:dyDescent="0.25">
      <c r="B1098" s="21" t="str" cm="1">
        <f t="array" aca="1" ref="B10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8" s="22" t="str" cm="1">
        <f t="array" aca="1" ref="C10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A1098, "'!C:C")),"NOK"))&gt;0, "NOK", "Pending....")),"")</f>
        <v/>
      </c>
      <c r="D1098" s="24"/>
      <c r="E1098" s="24"/>
      <c r="F1098" s="24"/>
      <c r="G1098" s="29"/>
      <c r="H1098" s="24"/>
    </row>
    <row r="1099" spans="2:8" x14ac:dyDescent="0.25">
      <c r="B1099" s="21" t="str" cm="1">
        <f t="array" aca="1" ref="B10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099" s="22" t="str" cm="1">
        <f t="array" aca="1" ref="C10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A1099, "'!C:C")),"NOK"))&gt;0, "NOK", "Pending....")),"")</f>
        <v/>
      </c>
      <c r="D1099" s="24"/>
      <c r="E1099" s="24"/>
      <c r="F1099" s="24"/>
      <c r="G1099" s="29"/>
      <c r="H1099" s="24"/>
    </row>
    <row r="1100" spans="2:8" x14ac:dyDescent="0.25">
      <c r="B1100" s="21" t="str" cm="1">
        <f t="array" aca="1" ref="B11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0" s="22" t="str" cm="1">
        <f t="array" aca="1" ref="C11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A1100, "'!C:C")),"NOK"))&gt;0, "NOK", "Pending....")),"")</f>
        <v/>
      </c>
      <c r="D1100" s="24"/>
      <c r="E1100" s="24"/>
      <c r="F1100" s="24"/>
      <c r="G1100" s="29"/>
      <c r="H1100" s="24"/>
    </row>
    <row r="1101" spans="2:8" x14ac:dyDescent="0.25">
      <c r="B1101" s="21" t="str" cm="1">
        <f t="array" aca="1" ref="B11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1" s="22" t="str" cm="1">
        <f t="array" aca="1" ref="C11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A1101, "'!C:C")),"NOK"))&gt;0, "NOK", "Pending....")),"")</f>
        <v/>
      </c>
      <c r="D1101" s="24"/>
      <c r="E1101" s="24"/>
      <c r="F1101" s="24"/>
      <c r="G1101" s="29"/>
      <c r="H1101" s="24"/>
    </row>
    <row r="1102" spans="2:8" x14ac:dyDescent="0.25">
      <c r="B1102" s="21" t="str" cm="1">
        <f t="array" aca="1" ref="B11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2" s="22" t="str" cm="1">
        <f t="array" aca="1" ref="C11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A1102, "'!C:C")),"NOK"))&gt;0, "NOK", "Pending....")),"")</f>
        <v/>
      </c>
      <c r="D1102" s="24"/>
      <c r="E1102" s="24"/>
      <c r="F1102" s="24"/>
      <c r="G1102" s="29"/>
      <c r="H1102" s="24"/>
    </row>
    <row r="1103" spans="2:8" x14ac:dyDescent="0.25">
      <c r="B1103" s="21" t="str" cm="1">
        <f t="array" aca="1" ref="B11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3" s="22" t="str" cm="1">
        <f t="array" aca="1" ref="C11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A1103, "'!C:C")),"NOK"))&gt;0, "NOK", "Pending....")),"")</f>
        <v/>
      </c>
      <c r="D1103" s="24"/>
      <c r="E1103" s="24"/>
      <c r="F1103" s="24"/>
      <c r="G1103" s="29"/>
      <c r="H1103" s="24"/>
    </row>
    <row r="1104" spans="2:8" x14ac:dyDescent="0.25">
      <c r="B1104" s="21" t="str" cm="1">
        <f t="array" aca="1" ref="B11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4" s="22" t="str" cm="1">
        <f t="array" aca="1" ref="C11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A1104, "'!C:C")),"NOK"))&gt;0, "NOK", "Pending....")),"")</f>
        <v/>
      </c>
      <c r="D1104" s="24"/>
      <c r="E1104" s="24"/>
      <c r="F1104" s="24"/>
      <c r="G1104" s="29"/>
      <c r="H1104" s="24"/>
    </row>
    <row r="1105" spans="2:8" x14ac:dyDescent="0.25">
      <c r="B1105" s="21" t="str" cm="1">
        <f t="array" aca="1" ref="B11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5" s="22" t="str" cm="1">
        <f t="array" aca="1" ref="C11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A1105, "'!C:C")),"NOK"))&gt;0, "NOK", "Pending....")),"")</f>
        <v/>
      </c>
      <c r="D1105" s="24"/>
      <c r="E1105" s="24"/>
      <c r="F1105" s="24"/>
      <c r="G1105" s="29"/>
      <c r="H1105" s="24"/>
    </row>
    <row r="1106" spans="2:8" x14ac:dyDescent="0.25">
      <c r="B1106" s="21" t="str" cm="1">
        <f t="array" aca="1" ref="B11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6" s="22" t="str" cm="1">
        <f t="array" aca="1" ref="C11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A1106, "'!C:C")),"NOK"))&gt;0, "NOK", "Pending....")),"")</f>
        <v/>
      </c>
      <c r="D1106" s="24"/>
      <c r="E1106" s="24"/>
      <c r="F1106" s="24"/>
      <c r="G1106" s="29"/>
      <c r="H1106" s="24"/>
    </row>
    <row r="1107" spans="2:8" x14ac:dyDescent="0.25">
      <c r="B1107" s="21" t="str" cm="1">
        <f t="array" aca="1" ref="B11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7" s="22" t="str" cm="1">
        <f t="array" aca="1" ref="C11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A1107, "'!C:C")),"NOK"))&gt;0, "NOK", "Pending....")),"")</f>
        <v/>
      </c>
      <c r="D1107" s="24"/>
      <c r="E1107" s="24"/>
      <c r="F1107" s="24"/>
      <c r="G1107" s="29"/>
      <c r="H1107" s="24"/>
    </row>
    <row r="1108" spans="2:8" x14ac:dyDescent="0.25">
      <c r="B1108" s="21" t="str" cm="1">
        <f t="array" aca="1" ref="B11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8" s="22" t="str" cm="1">
        <f t="array" aca="1" ref="C11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A1108, "'!C:C")),"NOK"))&gt;0, "NOK", "Pending....")),"")</f>
        <v/>
      </c>
      <c r="D1108" s="24"/>
      <c r="E1108" s="24"/>
      <c r="F1108" s="24"/>
      <c r="G1108" s="29"/>
      <c r="H1108" s="24"/>
    </row>
    <row r="1109" spans="2:8" x14ac:dyDescent="0.25">
      <c r="B1109" s="21" t="str" cm="1">
        <f t="array" aca="1" ref="B11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09" s="22" t="str" cm="1">
        <f t="array" aca="1" ref="C11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A1109, "'!C:C")),"NOK"))&gt;0, "NOK", "Pending....")),"")</f>
        <v/>
      </c>
      <c r="D1109" s="24"/>
      <c r="E1109" s="24"/>
      <c r="F1109" s="24"/>
      <c r="G1109" s="29"/>
      <c r="H1109" s="24"/>
    </row>
    <row r="1110" spans="2:8" x14ac:dyDescent="0.25">
      <c r="B1110" s="21" t="str" cm="1">
        <f t="array" aca="1" ref="B11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0" s="22" t="str" cm="1">
        <f t="array" aca="1" ref="C11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A1110, "'!C:C")),"NOK"))&gt;0, "NOK", "Pending....")),"")</f>
        <v/>
      </c>
      <c r="D1110" s="24"/>
      <c r="E1110" s="24"/>
      <c r="F1110" s="24"/>
      <c r="G1110" s="29"/>
      <c r="H1110" s="24"/>
    </row>
    <row r="1111" spans="2:8" x14ac:dyDescent="0.25">
      <c r="B1111" s="21" t="str" cm="1">
        <f t="array" aca="1" ref="B11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1" s="22" t="str" cm="1">
        <f t="array" aca="1" ref="C11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A1111, "'!C:C")),"NOK"))&gt;0, "NOK", "Pending....")),"")</f>
        <v/>
      </c>
      <c r="D1111" s="24"/>
      <c r="E1111" s="24"/>
      <c r="F1111" s="24"/>
      <c r="G1111" s="29"/>
      <c r="H1111" s="24"/>
    </row>
    <row r="1112" spans="2:8" x14ac:dyDescent="0.25">
      <c r="B1112" s="21" t="str" cm="1">
        <f t="array" aca="1" ref="B11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2" s="22" t="str" cm="1">
        <f t="array" aca="1" ref="C11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A1112, "'!C:C")),"NOK"))&gt;0, "NOK", "Pending....")),"")</f>
        <v/>
      </c>
      <c r="D1112" s="24"/>
      <c r="E1112" s="24"/>
      <c r="F1112" s="24"/>
      <c r="G1112" s="29"/>
      <c r="H1112" s="24"/>
    </row>
    <row r="1113" spans="2:8" x14ac:dyDescent="0.25">
      <c r="B1113" s="21" t="str" cm="1">
        <f t="array" aca="1" ref="B11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3" s="22" t="str" cm="1">
        <f t="array" aca="1" ref="C11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A1113, "'!C:C")),"NOK"))&gt;0, "NOK", "Pending....")),"")</f>
        <v/>
      </c>
      <c r="D1113" s="24"/>
      <c r="E1113" s="24"/>
      <c r="F1113" s="24"/>
      <c r="G1113" s="29"/>
      <c r="H1113" s="24"/>
    </row>
    <row r="1114" spans="2:8" x14ac:dyDescent="0.25">
      <c r="B1114" s="21" t="str" cm="1">
        <f t="array" aca="1" ref="B11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4" s="22" t="str" cm="1">
        <f t="array" aca="1" ref="C11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A1114, "'!C:C")),"NOK"))&gt;0, "NOK", "Pending....")),"")</f>
        <v/>
      </c>
      <c r="D1114" s="24"/>
      <c r="E1114" s="24"/>
      <c r="F1114" s="24"/>
      <c r="G1114" s="29"/>
      <c r="H1114" s="24"/>
    </row>
    <row r="1115" spans="2:8" x14ac:dyDescent="0.25">
      <c r="B1115" s="21" t="str" cm="1">
        <f t="array" aca="1" ref="B11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5" s="22" t="str" cm="1">
        <f t="array" aca="1" ref="C11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A1115, "'!C:C")),"NOK"))&gt;0, "NOK", "Pending....")),"")</f>
        <v/>
      </c>
      <c r="D1115" s="24"/>
      <c r="E1115" s="24"/>
      <c r="F1115" s="24"/>
      <c r="G1115" s="29"/>
      <c r="H1115" s="24"/>
    </row>
    <row r="1116" spans="2:8" x14ac:dyDescent="0.25">
      <c r="B1116" s="21" t="str" cm="1">
        <f t="array" aca="1" ref="B11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6" s="22" t="str" cm="1">
        <f t="array" aca="1" ref="C11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A1116, "'!C:C")),"NOK"))&gt;0, "NOK", "Pending....")),"")</f>
        <v/>
      </c>
      <c r="D1116" s="24"/>
      <c r="E1116" s="24"/>
      <c r="F1116" s="24"/>
      <c r="G1116" s="29"/>
      <c r="H1116" s="24"/>
    </row>
    <row r="1117" spans="2:8" x14ac:dyDescent="0.25">
      <c r="B1117" s="21" t="str" cm="1">
        <f t="array" aca="1" ref="B11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7" s="22" t="str" cm="1">
        <f t="array" aca="1" ref="C11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A1117, "'!C:C")),"NOK"))&gt;0, "NOK", "Pending....")),"")</f>
        <v/>
      </c>
      <c r="D1117" s="24"/>
      <c r="E1117" s="24"/>
      <c r="F1117" s="24"/>
      <c r="G1117" s="29"/>
      <c r="H1117" s="24"/>
    </row>
    <row r="1118" spans="2:8" x14ac:dyDescent="0.25">
      <c r="B1118" s="21" t="str" cm="1">
        <f t="array" aca="1" ref="B11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8" s="22" t="str" cm="1">
        <f t="array" aca="1" ref="C11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A1118, "'!C:C")),"NOK"))&gt;0, "NOK", "Pending....")),"")</f>
        <v/>
      </c>
      <c r="D1118" s="24"/>
      <c r="E1118" s="24"/>
      <c r="F1118" s="24"/>
      <c r="G1118" s="29"/>
      <c r="H1118" s="24"/>
    </row>
    <row r="1119" spans="2:8" x14ac:dyDescent="0.25">
      <c r="B1119" s="21" t="str" cm="1">
        <f t="array" aca="1" ref="B11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19" s="22" t="str" cm="1">
        <f t="array" aca="1" ref="C11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A1119, "'!C:C")),"NOK"))&gt;0, "NOK", "Pending....")),"")</f>
        <v/>
      </c>
      <c r="D1119" s="24"/>
      <c r="E1119" s="24"/>
      <c r="F1119" s="24"/>
      <c r="G1119" s="29"/>
      <c r="H1119" s="24"/>
    </row>
    <row r="1120" spans="2:8" x14ac:dyDescent="0.25">
      <c r="B1120" s="21" t="str" cm="1">
        <f t="array" aca="1" ref="B11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0" s="22" t="str" cm="1">
        <f t="array" aca="1" ref="C11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A1120, "'!C:C")),"NOK"))&gt;0, "NOK", "Pending....")),"")</f>
        <v/>
      </c>
      <c r="D1120" s="24"/>
      <c r="E1120" s="24"/>
      <c r="F1120" s="24"/>
      <c r="G1120" s="29"/>
      <c r="H1120" s="24"/>
    </row>
    <row r="1121" spans="2:8" x14ac:dyDescent="0.25">
      <c r="B1121" s="21" t="str" cm="1">
        <f t="array" aca="1" ref="B11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1" s="22" t="str" cm="1">
        <f t="array" aca="1" ref="C11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A1121, "'!C:C")),"NOK"))&gt;0, "NOK", "Pending....")),"")</f>
        <v/>
      </c>
      <c r="D1121" s="24"/>
      <c r="E1121" s="24"/>
      <c r="F1121" s="24"/>
      <c r="G1121" s="29"/>
      <c r="H1121" s="24"/>
    </row>
    <row r="1122" spans="2:8" x14ac:dyDescent="0.25">
      <c r="B1122" s="21" t="str" cm="1">
        <f t="array" aca="1" ref="B11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2" s="22" t="str" cm="1">
        <f t="array" aca="1" ref="C11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A1122, "'!C:C")),"NOK"))&gt;0, "NOK", "Pending....")),"")</f>
        <v/>
      </c>
      <c r="D1122" s="24"/>
      <c r="E1122" s="24"/>
      <c r="F1122" s="24"/>
      <c r="G1122" s="29"/>
      <c r="H1122" s="24"/>
    </row>
    <row r="1123" spans="2:8" x14ac:dyDescent="0.25">
      <c r="B1123" s="21" t="str" cm="1">
        <f t="array" aca="1" ref="B11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3" s="22" t="str" cm="1">
        <f t="array" aca="1" ref="C11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A1123, "'!C:C")),"NOK"))&gt;0, "NOK", "Pending....")),"")</f>
        <v/>
      </c>
      <c r="D1123" s="24"/>
      <c r="E1123" s="24"/>
      <c r="F1123" s="24"/>
      <c r="G1123" s="29"/>
      <c r="H1123" s="24"/>
    </row>
    <row r="1124" spans="2:8" x14ac:dyDescent="0.25">
      <c r="B1124" s="21" t="str" cm="1">
        <f t="array" aca="1" ref="B11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4" s="22" t="str" cm="1">
        <f t="array" aca="1" ref="C11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A1124, "'!C:C")),"NOK"))&gt;0, "NOK", "Pending....")),"")</f>
        <v/>
      </c>
      <c r="D1124" s="24"/>
      <c r="E1124" s="24"/>
      <c r="F1124" s="24"/>
      <c r="G1124" s="29"/>
      <c r="H1124" s="24"/>
    </row>
    <row r="1125" spans="2:8" x14ac:dyDescent="0.25">
      <c r="B1125" s="21" t="str" cm="1">
        <f t="array" aca="1" ref="B11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5" s="22" t="str" cm="1">
        <f t="array" aca="1" ref="C11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A1125, "'!C:C")),"NOK"))&gt;0, "NOK", "Pending....")),"")</f>
        <v/>
      </c>
      <c r="D1125" s="24"/>
      <c r="E1125" s="24"/>
      <c r="F1125" s="24"/>
      <c r="G1125" s="29"/>
      <c r="H1125" s="24"/>
    </row>
    <row r="1126" spans="2:8" x14ac:dyDescent="0.25">
      <c r="B1126" s="21" t="str" cm="1">
        <f t="array" aca="1" ref="B11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6" s="22" t="str" cm="1">
        <f t="array" aca="1" ref="C11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A1126, "'!C:C")),"NOK"))&gt;0, "NOK", "Pending....")),"")</f>
        <v/>
      </c>
      <c r="D1126" s="24"/>
      <c r="E1126" s="24"/>
      <c r="F1126" s="24"/>
      <c r="G1126" s="29"/>
      <c r="H1126" s="24"/>
    </row>
    <row r="1127" spans="2:8" x14ac:dyDescent="0.25">
      <c r="B1127" s="21" t="str" cm="1">
        <f t="array" aca="1" ref="B11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7" s="22" t="str" cm="1">
        <f t="array" aca="1" ref="C11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A1127, "'!C:C")),"NOK"))&gt;0, "NOK", "Pending....")),"")</f>
        <v/>
      </c>
      <c r="D1127" s="24"/>
      <c r="E1127" s="24"/>
      <c r="F1127" s="24"/>
      <c r="G1127" s="29"/>
      <c r="H1127" s="24"/>
    </row>
    <row r="1128" spans="2:8" x14ac:dyDescent="0.25">
      <c r="B1128" s="21" t="str" cm="1">
        <f t="array" aca="1" ref="B11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8" s="22" t="str" cm="1">
        <f t="array" aca="1" ref="C11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A1128, "'!C:C")),"NOK"))&gt;0, "NOK", "Pending....")),"")</f>
        <v/>
      </c>
      <c r="D1128" s="24"/>
      <c r="E1128" s="24"/>
      <c r="F1128" s="24"/>
      <c r="G1128" s="29"/>
      <c r="H1128" s="24"/>
    </row>
    <row r="1129" spans="2:8" x14ac:dyDescent="0.25">
      <c r="B1129" s="21" t="str" cm="1">
        <f t="array" aca="1" ref="B11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29" s="22" t="str" cm="1">
        <f t="array" aca="1" ref="C11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A1129, "'!C:C")),"NOK"))&gt;0, "NOK", "Pending....")),"")</f>
        <v/>
      </c>
      <c r="D1129" s="24"/>
      <c r="E1129" s="24"/>
      <c r="F1129" s="24"/>
      <c r="G1129" s="29"/>
      <c r="H1129" s="24"/>
    </row>
    <row r="1130" spans="2:8" x14ac:dyDescent="0.25">
      <c r="B1130" s="21" t="str" cm="1">
        <f t="array" aca="1" ref="B11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0" s="22" t="str" cm="1">
        <f t="array" aca="1" ref="C11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A1130, "'!C:C")),"NOK"))&gt;0, "NOK", "Pending....")),"")</f>
        <v/>
      </c>
      <c r="D1130" s="24"/>
      <c r="E1130" s="24"/>
      <c r="F1130" s="24"/>
      <c r="G1130" s="29"/>
      <c r="H1130" s="24"/>
    </row>
    <row r="1131" spans="2:8" x14ac:dyDescent="0.25">
      <c r="B1131" s="21" t="str" cm="1">
        <f t="array" aca="1" ref="B11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1" s="22" t="str" cm="1">
        <f t="array" aca="1" ref="C11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A1131, "'!C:C")),"NOK"))&gt;0, "NOK", "Pending....")),"")</f>
        <v/>
      </c>
      <c r="D1131" s="24"/>
      <c r="E1131" s="24"/>
      <c r="F1131" s="24"/>
      <c r="G1131" s="29"/>
      <c r="H1131" s="24"/>
    </row>
    <row r="1132" spans="2:8" x14ac:dyDescent="0.25">
      <c r="B1132" s="21" t="str" cm="1">
        <f t="array" aca="1" ref="B11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2" s="22" t="str" cm="1">
        <f t="array" aca="1" ref="C11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A1132, "'!C:C")),"NOK"))&gt;0, "NOK", "Pending....")),"")</f>
        <v/>
      </c>
      <c r="D1132" s="24"/>
      <c r="E1132" s="24"/>
      <c r="F1132" s="24"/>
      <c r="G1132" s="29"/>
      <c r="H1132" s="24"/>
    </row>
    <row r="1133" spans="2:8" x14ac:dyDescent="0.25">
      <c r="B1133" s="21" t="str" cm="1">
        <f t="array" aca="1" ref="B11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3" s="22" t="str" cm="1">
        <f t="array" aca="1" ref="C11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A1133, "'!C:C")),"NOK"))&gt;0, "NOK", "Pending....")),"")</f>
        <v/>
      </c>
      <c r="D1133" s="24"/>
      <c r="E1133" s="24"/>
      <c r="F1133" s="24"/>
      <c r="G1133" s="29"/>
      <c r="H1133" s="24"/>
    </row>
    <row r="1134" spans="2:8" x14ac:dyDescent="0.25">
      <c r="B1134" s="21" t="str" cm="1">
        <f t="array" aca="1" ref="B11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4" s="22" t="str" cm="1">
        <f t="array" aca="1" ref="C11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A1134, "'!C:C")),"NOK"))&gt;0, "NOK", "Pending....")),"")</f>
        <v/>
      </c>
      <c r="D1134" s="24"/>
      <c r="E1134" s="24"/>
      <c r="F1134" s="24"/>
      <c r="G1134" s="29"/>
      <c r="H1134" s="24"/>
    </row>
    <row r="1135" spans="2:8" x14ac:dyDescent="0.25">
      <c r="B1135" s="21" t="str" cm="1">
        <f t="array" aca="1" ref="B11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5" s="22" t="str" cm="1">
        <f t="array" aca="1" ref="C11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A1135, "'!C:C")),"NOK"))&gt;0, "NOK", "Pending....")),"")</f>
        <v/>
      </c>
      <c r="D1135" s="24"/>
      <c r="E1135" s="24"/>
      <c r="F1135" s="24"/>
      <c r="G1135" s="29"/>
      <c r="H1135" s="24"/>
    </row>
    <row r="1136" spans="2:8" x14ac:dyDescent="0.25">
      <c r="B1136" s="21" t="str" cm="1">
        <f t="array" aca="1" ref="B11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6" s="22" t="str" cm="1">
        <f t="array" aca="1" ref="C11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A1136, "'!C:C")),"NOK"))&gt;0, "NOK", "Pending....")),"")</f>
        <v/>
      </c>
      <c r="D1136" s="24"/>
      <c r="E1136" s="24"/>
      <c r="F1136" s="24"/>
      <c r="G1136" s="29"/>
      <c r="H1136" s="24"/>
    </row>
    <row r="1137" spans="2:8" x14ac:dyDescent="0.25">
      <c r="B1137" s="21" t="str" cm="1">
        <f t="array" aca="1" ref="B11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7" s="22" t="str" cm="1">
        <f t="array" aca="1" ref="C11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A1137, "'!C:C")),"NOK"))&gt;0, "NOK", "Pending....")),"")</f>
        <v/>
      </c>
      <c r="D1137" s="24"/>
      <c r="E1137" s="24"/>
      <c r="F1137" s="24"/>
      <c r="G1137" s="29"/>
      <c r="H1137" s="24"/>
    </row>
    <row r="1138" spans="2:8" x14ac:dyDescent="0.25">
      <c r="B1138" s="21" t="str" cm="1">
        <f t="array" aca="1" ref="B11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8" s="22" t="str" cm="1">
        <f t="array" aca="1" ref="C11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A1138, "'!C:C")),"NOK"))&gt;0, "NOK", "Pending....")),"")</f>
        <v/>
      </c>
      <c r="D1138" s="24"/>
      <c r="E1138" s="24"/>
      <c r="F1138" s="24"/>
      <c r="G1138" s="29"/>
      <c r="H1138" s="24"/>
    </row>
    <row r="1139" spans="2:8" x14ac:dyDescent="0.25">
      <c r="B1139" s="21" t="str" cm="1">
        <f t="array" aca="1" ref="B11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39" s="22" t="str" cm="1">
        <f t="array" aca="1" ref="C11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A1139, "'!C:C")),"NOK"))&gt;0, "NOK", "Pending....")),"")</f>
        <v/>
      </c>
      <c r="D1139" s="24"/>
      <c r="E1139" s="24"/>
      <c r="F1139" s="24"/>
      <c r="G1139" s="29"/>
      <c r="H1139" s="24"/>
    </row>
    <row r="1140" spans="2:8" x14ac:dyDescent="0.25">
      <c r="B1140" s="21" t="str" cm="1">
        <f t="array" aca="1" ref="B11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0" s="22" t="str" cm="1">
        <f t="array" aca="1" ref="C11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A1140, "'!C:C")),"NOK"))&gt;0, "NOK", "Pending....")),"")</f>
        <v/>
      </c>
      <c r="D1140" s="24"/>
      <c r="E1140" s="24"/>
      <c r="F1140" s="24"/>
      <c r="G1140" s="29"/>
      <c r="H1140" s="24"/>
    </row>
    <row r="1141" spans="2:8" x14ac:dyDescent="0.25">
      <c r="B1141" s="21" t="str" cm="1">
        <f t="array" aca="1" ref="B11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1" s="22" t="str" cm="1">
        <f t="array" aca="1" ref="C11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A1141, "'!C:C")),"NOK"))&gt;0, "NOK", "Pending....")),"")</f>
        <v/>
      </c>
      <c r="D1141" s="24"/>
      <c r="E1141" s="24"/>
      <c r="F1141" s="24"/>
      <c r="G1141" s="29"/>
      <c r="H1141" s="24"/>
    </row>
    <row r="1142" spans="2:8" x14ac:dyDescent="0.25">
      <c r="B1142" s="21" t="str" cm="1">
        <f t="array" aca="1" ref="B11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2" s="22" t="str" cm="1">
        <f t="array" aca="1" ref="C11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A1142, "'!C:C")),"NOK"))&gt;0, "NOK", "Pending....")),"")</f>
        <v/>
      </c>
      <c r="D1142" s="24"/>
      <c r="E1142" s="24"/>
      <c r="F1142" s="24"/>
      <c r="G1142" s="29"/>
      <c r="H1142" s="24"/>
    </row>
    <row r="1143" spans="2:8" x14ac:dyDescent="0.25">
      <c r="B1143" s="21" t="str" cm="1">
        <f t="array" aca="1" ref="B11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3" s="22" t="str" cm="1">
        <f t="array" aca="1" ref="C11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A1143, "'!C:C")),"NOK"))&gt;0, "NOK", "Pending....")),"")</f>
        <v/>
      </c>
      <c r="D1143" s="24"/>
      <c r="E1143" s="24"/>
      <c r="F1143" s="24"/>
      <c r="G1143" s="29"/>
      <c r="H1143" s="24"/>
    </row>
    <row r="1144" spans="2:8" x14ac:dyDescent="0.25">
      <c r="B1144" s="21" t="str" cm="1">
        <f t="array" aca="1" ref="B11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4" s="22" t="str" cm="1">
        <f t="array" aca="1" ref="C11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A1144, "'!C:C")),"NOK"))&gt;0, "NOK", "Pending....")),"")</f>
        <v/>
      </c>
      <c r="D1144" s="24"/>
      <c r="E1144" s="24"/>
      <c r="F1144" s="24"/>
      <c r="G1144" s="29"/>
      <c r="H1144" s="24"/>
    </row>
    <row r="1145" spans="2:8" x14ac:dyDescent="0.25">
      <c r="B1145" s="21" t="str" cm="1">
        <f t="array" aca="1" ref="B11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5" s="22" t="str" cm="1">
        <f t="array" aca="1" ref="C11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A1145, "'!C:C")),"NOK"))&gt;0, "NOK", "Pending....")),"")</f>
        <v/>
      </c>
      <c r="D1145" s="24"/>
      <c r="E1145" s="24"/>
      <c r="F1145" s="24"/>
      <c r="G1145" s="29"/>
      <c r="H1145" s="24"/>
    </row>
    <row r="1146" spans="2:8" x14ac:dyDescent="0.25">
      <c r="B1146" s="21" t="str" cm="1">
        <f t="array" aca="1" ref="B11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6" s="22" t="str" cm="1">
        <f t="array" aca="1" ref="C11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A1146, "'!C:C")),"NOK"))&gt;0, "NOK", "Pending....")),"")</f>
        <v/>
      </c>
      <c r="D1146" s="24"/>
      <c r="E1146" s="24"/>
      <c r="F1146" s="24"/>
      <c r="G1146" s="29"/>
      <c r="H1146" s="24"/>
    </row>
    <row r="1147" spans="2:8" x14ac:dyDescent="0.25">
      <c r="B1147" s="21" t="str" cm="1">
        <f t="array" aca="1" ref="B11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7" s="22" t="str" cm="1">
        <f t="array" aca="1" ref="C11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A1147, "'!C:C")),"NOK"))&gt;0, "NOK", "Pending....")),"")</f>
        <v/>
      </c>
      <c r="D1147" s="24"/>
      <c r="E1147" s="24"/>
      <c r="F1147" s="24"/>
      <c r="G1147" s="29"/>
      <c r="H1147" s="24"/>
    </row>
    <row r="1148" spans="2:8" x14ac:dyDescent="0.25">
      <c r="B1148" s="21" t="str" cm="1">
        <f t="array" aca="1" ref="B11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8" s="22" t="str" cm="1">
        <f t="array" aca="1" ref="C11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A1148, "'!C:C")),"NOK"))&gt;0, "NOK", "Pending....")),"")</f>
        <v/>
      </c>
      <c r="D1148" s="24"/>
      <c r="E1148" s="24"/>
      <c r="F1148" s="24"/>
      <c r="G1148" s="29"/>
      <c r="H1148" s="24"/>
    </row>
    <row r="1149" spans="2:8" x14ac:dyDescent="0.25">
      <c r="B1149" s="21" t="str" cm="1">
        <f t="array" aca="1" ref="B11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49" s="22" t="str" cm="1">
        <f t="array" aca="1" ref="C11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A1149, "'!C:C")),"NOK"))&gt;0, "NOK", "Pending....")),"")</f>
        <v/>
      </c>
      <c r="D1149" s="24"/>
      <c r="E1149" s="24"/>
      <c r="F1149" s="24"/>
      <c r="G1149" s="29"/>
      <c r="H1149" s="24"/>
    </row>
    <row r="1150" spans="2:8" x14ac:dyDescent="0.25">
      <c r="B1150" s="21" t="str" cm="1">
        <f t="array" aca="1" ref="B11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0" s="22" t="str" cm="1">
        <f t="array" aca="1" ref="C11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A1150, "'!C:C")),"NOK"))&gt;0, "NOK", "Pending....")),"")</f>
        <v/>
      </c>
      <c r="D1150" s="24"/>
      <c r="E1150" s="24"/>
      <c r="F1150" s="24"/>
      <c r="G1150" s="29"/>
      <c r="H1150" s="24"/>
    </row>
    <row r="1151" spans="2:8" x14ac:dyDescent="0.25">
      <c r="B1151" s="21" t="str" cm="1">
        <f t="array" aca="1" ref="B11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1" s="22" t="str" cm="1">
        <f t="array" aca="1" ref="C11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A1151, "'!C:C")),"NOK"))&gt;0, "NOK", "Pending....")),"")</f>
        <v/>
      </c>
      <c r="D1151" s="24"/>
      <c r="E1151" s="24"/>
      <c r="F1151" s="24"/>
      <c r="G1151" s="29"/>
      <c r="H1151" s="24"/>
    </row>
    <row r="1152" spans="2:8" x14ac:dyDescent="0.25">
      <c r="B1152" s="21" t="str" cm="1">
        <f t="array" aca="1" ref="B11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2" s="22" t="str" cm="1">
        <f t="array" aca="1" ref="C11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A1152, "'!C:C")),"NOK"))&gt;0, "NOK", "Pending....")),"")</f>
        <v/>
      </c>
      <c r="D1152" s="24"/>
      <c r="E1152" s="24"/>
      <c r="F1152" s="24"/>
      <c r="G1152" s="29"/>
      <c r="H1152" s="24"/>
    </row>
    <row r="1153" spans="2:8" x14ac:dyDescent="0.25">
      <c r="B1153" s="21" t="str" cm="1">
        <f t="array" aca="1" ref="B11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3" s="22" t="str" cm="1">
        <f t="array" aca="1" ref="C11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A1153, "'!C:C")),"NOK"))&gt;0, "NOK", "Pending....")),"")</f>
        <v/>
      </c>
      <c r="D1153" s="24"/>
      <c r="E1153" s="24"/>
      <c r="F1153" s="24"/>
      <c r="G1153" s="29"/>
      <c r="H1153" s="24"/>
    </row>
    <row r="1154" spans="2:8" x14ac:dyDescent="0.25">
      <c r="B1154" s="21" t="str" cm="1">
        <f t="array" aca="1" ref="B11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4" s="22" t="str" cm="1">
        <f t="array" aca="1" ref="C11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A1154, "'!C:C")),"NOK"))&gt;0, "NOK", "Pending....")),"")</f>
        <v/>
      </c>
      <c r="D1154" s="24"/>
      <c r="E1154" s="24"/>
      <c r="F1154" s="24"/>
      <c r="G1154" s="29"/>
      <c r="H1154" s="24"/>
    </row>
    <row r="1155" spans="2:8" x14ac:dyDescent="0.25">
      <c r="B1155" s="21" t="str" cm="1">
        <f t="array" aca="1" ref="B11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5" s="22" t="str" cm="1">
        <f t="array" aca="1" ref="C11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A1155, "'!C:C")),"NOK"))&gt;0, "NOK", "Pending....")),"")</f>
        <v/>
      </c>
      <c r="D1155" s="24"/>
      <c r="E1155" s="24"/>
      <c r="F1155" s="24"/>
      <c r="G1155" s="29"/>
      <c r="H1155" s="24"/>
    </row>
    <row r="1156" spans="2:8" x14ac:dyDescent="0.25">
      <c r="B1156" s="21" t="str" cm="1">
        <f t="array" aca="1" ref="B11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6" s="22" t="str" cm="1">
        <f t="array" aca="1" ref="C11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A1156, "'!C:C")),"NOK"))&gt;0, "NOK", "Pending....")),"")</f>
        <v/>
      </c>
      <c r="D1156" s="24"/>
      <c r="E1156" s="24"/>
      <c r="F1156" s="24"/>
      <c r="G1156" s="29"/>
      <c r="H1156" s="24"/>
    </row>
    <row r="1157" spans="2:8" x14ac:dyDescent="0.25">
      <c r="B1157" s="21" t="str" cm="1">
        <f t="array" aca="1" ref="B11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7" s="22" t="str" cm="1">
        <f t="array" aca="1" ref="C11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A1157, "'!C:C")),"NOK"))&gt;0, "NOK", "Pending....")),"")</f>
        <v/>
      </c>
      <c r="D1157" s="24"/>
      <c r="E1157" s="24"/>
      <c r="F1157" s="24"/>
      <c r="G1157" s="29"/>
      <c r="H1157" s="24"/>
    </row>
    <row r="1158" spans="2:8" x14ac:dyDescent="0.25">
      <c r="B1158" s="21" t="str" cm="1">
        <f t="array" aca="1" ref="B11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8" s="22" t="str" cm="1">
        <f t="array" aca="1" ref="C11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A1158, "'!C:C")),"NOK"))&gt;0, "NOK", "Pending....")),"")</f>
        <v/>
      </c>
      <c r="D1158" s="24"/>
      <c r="E1158" s="24"/>
      <c r="F1158" s="24"/>
      <c r="G1158" s="29"/>
      <c r="H1158" s="24"/>
    </row>
    <row r="1159" spans="2:8" x14ac:dyDescent="0.25">
      <c r="B1159" s="21" t="str" cm="1">
        <f t="array" aca="1" ref="B11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59" s="22" t="str" cm="1">
        <f t="array" aca="1" ref="C11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A1159, "'!C:C")),"NOK"))&gt;0, "NOK", "Pending....")),"")</f>
        <v/>
      </c>
      <c r="D1159" s="24"/>
      <c r="E1159" s="24"/>
      <c r="F1159" s="24"/>
      <c r="G1159" s="29"/>
      <c r="H1159" s="24"/>
    </row>
    <row r="1160" spans="2:8" x14ac:dyDescent="0.25">
      <c r="B1160" s="21" t="str" cm="1">
        <f t="array" aca="1" ref="B11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0" s="22" t="str" cm="1">
        <f t="array" aca="1" ref="C11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A1160, "'!C:C")),"NOK"))&gt;0, "NOK", "Pending....")),"")</f>
        <v/>
      </c>
      <c r="D1160" s="24"/>
      <c r="E1160" s="24"/>
      <c r="F1160" s="24"/>
      <c r="G1160" s="29"/>
      <c r="H1160" s="24"/>
    </row>
    <row r="1161" spans="2:8" x14ac:dyDescent="0.25">
      <c r="B1161" s="21" t="str" cm="1">
        <f t="array" aca="1" ref="B11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1" s="22" t="str" cm="1">
        <f t="array" aca="1" ref="C11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A1161, "'!C:C")),"NOK"))&gt;0, "NOK", "Pending....")),"")</f>
        <v/>
      </c>
      <c r="D1161" s="24"/>
      <c r="E1161" s="24"/>
      <c r="F1161" s="24"/>
      <c r="G1161" s="29"/>
      <c r="H1161" s="24"/>
    </row>
    <row r="1162" spans="2:8" x14ac:dyDescent="0.25">
      <c r="B1162" s="21" t="str" cm="1">
        <f t="array" aca="1" ref="B11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2" s="22" t="str" cm="1">
        <f t="array" aca="1" ref="C11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A1162, "'!C:C")),"NOK"))&gt;0, "NOK", "Pending....")),"")</f>
        <v/>
      </c>
      <c r="D1162" s="24"/>
      <c r="E1162" s="24"/>
      <c r="F1162" s="24"/>
      <c r="G1162" s="29"/>
      <c r="H1162" s="24"/>
    </row>
    <row r="1163" spans="2:8" x14ac:dyDescent="0.25">
      <c r="B1163" s="21" t="str" cm="1">
        <f t="array" aca="1" ref="B11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3" s="22" t="str" cm="1">
        <f t="array" aca="1" ref="C11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A1163, "'!C:C")),"NOK"))&gt;0, "NOK", "Pending....")),"")</f>
        <v/>
      </c>
      <c r="D1163" s="24"/>
      <c r="E1163" s="24"/>
      <c r="F1163" s="24"/>
      <c r="G1163" s="29"/>
      <c r="H1163" s="24"/>
    </row>
    <row r="1164" spans="2:8" x14ac:dyDescent="0.25">
      <c r="B1164" s="21" t="str" cm="1">
        <f t="array" aca="1" ref="B11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4" s="22" t="str" cm="1">
        <f t="array" aca="1" ref="C11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A1164, "'!C:C")),"NOK"))&gt;0, "NOK", "Pending....")),"")</f>
        <v/>
      </c>
      <c r="D1164" s="24"/>
      <c r="E1164" s="24"/>
      <c r="F1164" s="24"/>
      <c r="G1164" s="29"/>
      <c r="H1164" s="24"/>
    </row>
    <row r="1165" spans="2:8" x14ac:dyDescent="0.25">
      <c r="B1165" s="21" t="str" cm="1">
        <f t="array" aca="1" ref="B11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5" s="22" t="str" cm="1">
        <f t="array" aca="1" ref="C11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A1165, "'!C:C")),"NOK"))&gt;0, "NOK", "Pending....")),"")</f>
        <v/>
      </c>
      <c r="D1165" s="24"/>
      <c r="E1165" s="24"/>
      <c r="F1165" s="24"/>
      <c r="G1165" s="29"/>
      <c r="H1165" s="24"/>
    </row>
    <row r="1166" spans="2:8" x14ac:dyDescent="0.25">
      <c r="B1166" s="21" t="str" cm="1">
        <f t="array" aca="1" ref="B11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6" s="22" t="str" cm="1">
        <f t="array" aca="1" ref="C11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A1166, "'!C:C")),"NOK"))&gt;0, "NOK", "Pending....")),"")</f>
        <v/>
      </c>
      <c r="D1166" s="24"/>
      <c r="E1166" s="24"/>
      <c r="F1166" s="24"/>
      <c r="G1166" s="29"/>
      <c r="H1166" s="24"/>
    </row>
    <row r="1167" spans="2:8" x14ac:dyDescent="0.25">
      <c r="B1167" s="21" t="str" cm="1">
        <f t="array" aca="1" ref="B11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7" s="22" t="str" cm="1">
        <f t="array" aca="1" ref="C11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A1167, "'!C:C")),"NOK"))&gt;0, "NOK", "Pending....")),"")</f>
        <v/>
      </c>
      <c r="D1167" s="24"/>
      <c r="E1167" s="24"/>
      <c r="F1167" s="24"/>
      <c r="G1167" s="29"/>
      <c r="H1167" s="24"/>
    </row>
    <row r="1168" spans="2:8" x14ac:dyDescent="0.25">
      <c r="B1168" s="21" t="str" cm="1">
        <f t="array" aca="1" ref="B11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8" s="22" t="str" cm="1">
        <f t="array" aca="1" ref="C11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A1168, "'!C:C")),"NOK"))&gt;0, "NOK", "Pending....")),"")</f>
        <v/>
      </c>
      <c r="D1168" s="24"/>
      <c r="E1168" s="24"/>
      <c r="F1168" s="24"/>
      <c r="G1168" s="29"/>
      <c r="H1168" s="24"/>
    </row>
    <row r="1169" spans="2:8" x14ac:dyDescent="0.25">
      <c r="B1169" s="21" t="str" cm="1">
        <f t="array" aca="1" ref="B11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69" s="22" t="str" cm="1">
        <f t="array" aca="1" ref="C11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A1169, "'!C:C")),"NOK"))&gt;0, "NOK", "Pending....")),"")</f>
        <v/>
      </c>
      <c r="D1169" s="24"/>
      <c r="E1169" s="24"/>
      <c r="F1169" s="24"/>
      <c r="G1169" s="29"/>
      <c r="H1169" s="24"/>
    </row>
    <row r="1170" spans="2:8" x14ac:dyDescent="0.25">
      <c r="B1170" s="21" t="str" cm="1">
        <f t="array" aca="1" ref="B11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0" s="22" t="str" cm="1">
        <f t="array" aca="1" ref="C11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A1170, "'!C:C")),"NOK"))&gt;0, "NOK", "Pending....")),"")</f>
        <v/>
      </c>
      <c r="D1170" s="24"/>
      <c r="E1170" s="24"/>
      <c r="F1170" s="24"/>
      <c r="G1170" s="29"/>
      <c r="H1170" s="24"/>
    </row>
    <row r="1171" spans="2:8" x14ac:dyDescent="0.25">
      <c r="B1171" s="21" t="str" cm="1">
        <f t="array" aca="1" ref="B11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1" s="22" t="str" cm="1">
        <f t="array" aca="1" ref="C11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A1171, "'!C:C")),"NOK"))&gt;0, "NOK", "Pending....")),"")</f>
        <v/>
      </c>
      <c r="D1171" s="24"/>
      <c r="E1171" s="24"/>
      <c r="F1171" s="24"/>
      <c r="G1171" s="29"/>
      <c r="H1171" s="24"/>
    </row>
    <row r="1172" spans="2:8" x14ac:dyDescent="0.25">
      <c r="B1172" s="21" t="str" cm="1">
        <f t="array" aca="1" ref="B11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2" s="22" t="str" cm="1">
        <f t="array" aca="1" ref="C11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A1172, "'!C:C")),"NOK"))&gt;0, "NOK", "Pending....")),"")</f>
        <v/>
      </c>
      <c r="D1172" s="24"/>
      <c r="E1172" s="24"/>
      <c r="F1172" s="24"/>
      <c r="G1172" s="29"/>
      <c r="H1172" s="24"/>
    </row>
    <row r="1173" spans="2:8" x14ac:dyDescent="0.25">
      <c r="B1173" s="21" t="str" cm="1">
        <f t="array" aca="1" ref="B11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3" s="22" t="str" cm="1">
        <f t="array" aca="1" ref="C11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A1173, "'!C:C")),"NOK"))&gt;0, "NOK", "Pending....")),"")</f>
        <v/>
      </c>
      <c r="D1173" s="24"/>
      <c r="E1173" s="24"/>
      <c r="F1173" s="24"/>
      <c r="G1173" s="29"/>
      <c r="H1173" s="24"/>
    </row>
    <row r="1174" spans="2:8" x14ac:dyDescent="0.25">
      <c r="B1174" s="21" t="str" cm="1">
        <f t="array" aca="1" ref="B11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4" s="22" t="str" cm="1">
        <f t="array" aca="1" ref="C11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A1174, "'!C:C")),"NOK"))&gt;0, "NOK", "Pending....")),"")</f>
        <v/>
      </c>
      <c r="D1174" s="24"/>
      <c r="E1174" s="24"/>
      <c r="F1174" s="24"/>
      <c r="G1174" s="29"/>
      <c r="H1174" s="24"/>
    </row>
    <row r="1175" spans="2:8" x14ac:dyDescent="0.25">
      <c r="B1175" s="21" t="str" cm="1">
        <f t="array" aca="1" ref="B11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5" s="22" t="str" cm="1">
        <f t="array" aca="1" ref="C11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A1175, "'!C:C")),"NOK"))&gt;0, "NOK", "Pending....")),"")</f>
        <v/>
      </c>
      <c r="D1175" s="24"/>
      <c r="E1175" s="24"/>
      <c r="F1175" s="24"/>
      <c r="G1175" s="29"/>
      <c r="H1175" s="24"/>
    </row>
    <row r="1176" spans="2:8" x14ac:dyDescent="0.25">
      <c r="B1176" s="21" t="str" cm="1">
        <f t="array" aca="1" ref="B11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6" s="22" t="str" cm="1">
        <f t="array" aca="1" ref="C11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A1176, "'!C:C")),"NOK"))&gt;0, "NOK", "Pending....")),"")</f>
        <v/>
      </c>
      <c r="D1176" s="24"/>
      <c r="E1176" s="24"/>
      <c r="F1176" s="24"/>
      <c r="G1176" s="29"/>
      <c r="H1176" s="24"/>
    </row>
    <row r="1177" spans="2:8" x14ac:dyDescent="0.25">
      <c r="B1177" s="21" t="str" cm="1">
        <f t="array" aca="1" ref="B11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7" s="22" t="str" cm="1">
        <f t="array" aca="1" ref="C11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A1177, "'!C:C")),"NOK"))&gt;0, "NOK", "Pending....")),"")</f>
        <v/>
      </c>
      <c r="D1177" s="24"/>
      <c r="E1177" s="24"/>
      <c r="F1177" s="24"/>
      <c r="G1177" s="29"/>
      <c r="H1177" s="24"/>
    </row>
    <row r="1178" spans="2:8" x14ac:dyDescent="0.25">
      <c r="B1178" s="21" t="str" cm="1">
        <f t="array" aca="1" ref="B11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8" s="22" t="str" cm="1">
        <f t="array" aca="1" ref="C11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A1178, "'!C:C")),"NOK"))&gt;0, "NOK", "Pending....")),"")</f>
        <v/>
      </c>
      <c r="D1178" s="24"/>
      <c r="E1178" s="24"/>
      <c r="F1178" s="24"/>
      <c r="G1178" s="29"/>
      <c r="H1178" s="24"/>
    </row>
    <row r="1179" spans="2:8" x14ac:dyDescent="0.25">
      <c r="B1179" s="21" t="str" cm="1">
        <f t="array" aca="1" ref="B11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79" s="22" t="str" cm="1">
        <f t="array" aca="1" ref="C11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A1179, "'!C:C")),"NOK"))&gt;0, "NOK", "Pending....")),"")</f>
        <v/>
      </c>
      <c r="D1179" s="24"/>
      <c r="E1179" s="24"/>
      <c r="F1179" s="24"/>
      <c r="G1179" s="29"/>
      <c r="H1179" s="24"/>
    </row>
    <row r="1180" spans="2:8" x14ac:dyDescent="0.25">
      <c r="B1180" s="21" t="str" cm="1">
        <f t="array" aca="1" ref="B11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0" s="22" t="str" cm="1">
        <f t="array" aca="1" ref="C11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A1180, "'!C:C")),"NOK"))&gt;0, "NOK", "Pending....")),"")</f>
        <v/>
      </c>
      <c r="D1180" s="24"/>
      <c r="E1180" s="24"/>
      <c r="F1180" s="24"/>
      <c r="G1180" s="29"/>
      <c r="H1180" s="24"/>
    </row>
    <row r="1181" spans="2:8" x14ac:dyDescent="0.25">
      <c r="B1181" s="21" t="str" cm="1">
        <f t="array" aca="1" ref="B11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1" s="22" t="str" cm="1">
        <f t="array" aca="1" ref="C11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A1181, "'!C:C")),"NOK"))&gt;0, "NOK", "Pending....")),"")</f>
        <v/>
      </c>
      <c r="D1181" s="24"/>
      <c r="E1181" s="24"/>
      <c r="F1181" s="24"/>
      <c r="G1181" s="29"/>
      <c r="H1181" s="24"/>
    </row>
    <row r="1182" spans="2:8" x14ac:dyDescent="0.25">
      <c r="B1182" s="21" t="str" cm="1">
        <f t="array" aca="1" ref="B11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2" s="22" t="str" cm="1">
        <f t="array" aca="1" ref="C11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A1182, "'!C:C")),"NOK"))&gt;0, "NOK", "Pending....")),"")</f>
        <v/>
      </c>
      <c r="D1182" s="24"/>
      <c r="E1182" s="24"/>
      <c r="F1182" s="24"/>
      <c r="G1182" s="29"/>
      <c r="H1182" s="24"/>
    </row>
    <row r="1183" spans="2:8" x14ac:dyDescent="0.25">
      <c r="B1183" s="21" t="str" cm="1">
        <f t="array" aca="1" ref="B11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3" s="22" t="str" cm="1">
        <f t="array" aca="1" ref="C11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A1183, "'!C:C")),"NOK"))&gt;0, "NOK", "Pending....")),"")</f>
        <v/>
      </c>
      <c r="D1183" s="24"/>
      <c r="E1183" s="24"/>
      <c r="F1183" s="24"/>
      <c r="G1183" s="29"/>
      <c r="H1183" s="24"/>
    </row>
    <row r="1184" spans="2:8" x14ac:dyDescent="0.25">
      <c r="B1184" s="21" t="str" cm="1">
        <f t="array" aca="1" ref="B11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4" s="22" t="str" cm="1">
        <f t="array" aca="1" ref="C11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A1184, "'!C:C")),"NOK"))&gt;0, "NOK", "Pending....")),"")</f>
        <v/>
      </c>
      <c r="D1184" s="24"/>
      <c r="E1184" s="24"/>
      <c r="F1184" s="24"/>
      <c r="G1184" s="29"/>
      <c r="H1184" s="24"/>
    </row>
    <row r="1185" spans="2:8" x14ac:dyDescent="0.25">
      <c r="B1185" s="21" t="str" cm="1">
        <f t="array" aca="1" ref="B11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5" s="22" t="str" cm="1">
        <f t="array" aca="1" ref="C11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A1185, "'!C:C")),"NOK"))&gt;0, "NOK", "Pending....")),"")</f>
        <v/>
      </c>
      <c r="D1185" s="24"/>
      <c r="E1185" s="24"/>
      <c r="F1185" s="24"/>
      <c r="G1185" s="29"/>
      <c r="H1185" s="24"/>
    </row>
    <row r="1186" spans="2:8" x14ac:dyDescent="0.25">
      <c r="B1186" s="21" t="str" cm="1">
        <f t="array" aca="1" ref="B11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6" s="22" t="str" cm="1">
        <f t="array" aca="1" ref="C11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A1186, "'!C:C")),"NOK"))&gt;0, "NOK", "Pending....")),"")</f>
        <v/>
      </c>
      <c r="D1186" s="24"/>
      <c r="E1186" s="24"/>
      <c r="F1186" s="24"/>
      <c r="G1186" s="29"/>
      <c r="H1186" s="24"/>
    </row>
    <row r="1187" spans="2:8" x14ac:dyDescent="0.25">
      <c r="B1187" s="21" t="str" cm="1">
        <f t="array" aca="1" ref="B11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7" s="22" t="str" cm="1">
        <f t="array" aca="1" ref="C11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A1187, "'!C:C")),"NOK"))&gt;0, "NOK", "Pending....")),"")</f>
        <v/>
      </c>
      <c r="D1187" s="24"/>
      <c r="E1187" s="24"/>
      <c r="F1187" s="24"/>
      <c r="G1187" s="29"/>
      <c r="H1187" s="24"/>
    </row>
    <row r="1188" spans="2:8" x14ac:dyDescent="0.25">
      <c r="B1188" s="21" t="str" cm="1">
        <f t="array" aca="1" ref="B11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8" s="22" t="str" cm="1">
        <f t="array" aca="1" ref="C11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A1188, "'!C:C")),"NOK"))&gt;0, "NOK", "Pending....")),"")</f>
        <v/>
      </c>
      <c r="D1188" s="24"/>
      <c r="E1188" s="24"/>
      <c r="F1188" s="24"/>
      <c r="G1188" s="29"/>
      <c r="H1188" s="24"/>
    </row>
    <row r="1189" spans="2:8" x14ac:dyDescent="0.25">
      <c r="B1189" s="21" t="str" cm="1">
        <f t="array" aca="1" ref="B11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89" s="22" t="str" cm="1">
        <f t="array" aca="1" ref="C11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A1189, "'!C:C")),"NOK"))&gt;0, "NOK", "Pending....")),"")</f>
        <v/>
      </c>
      <c r="D1189" s="24"/>
      <c r="E1189" s="24"/>
      <c r="F1189" s="24"/>
      <c r="G1189" s="29"/>
      <c r="H1189" s="24"/>
    </row>
    <row r="1190" spans="2:8" x14ac:dyDescent="0.25">
      <c r="B1190" s="21" t="str" cm="1">
        <f t="array" aca="1" ref="B11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0" s="22" t="str" cm="1">
        <f t="array" aca="1" ref="C11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A1190, "'!C:C")),"NOK"))&gt;0, "NOK", "Pending....")),"")</f>
        <v/>
      </c>
      <c r="D1190" s="24"/>
      <c r="E1190" s="24"/>
      <c r="F1190" s="24"/>
      <c r="G1190" s="29"/>
      <c r="H1190" s="24"/>
    </row>
    <row r="1191" spans="2:8" x14ac:dyDescent="0.25">
      <c r="B1191" s="21" t="str" cm="1">
        <f t="array" aca="1" ref="B11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1" s="22" t="str" cm="1">
        <f t="array" aca="1" ref="C11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A1191, "'!C:C")),"NOK"))&gt;0, "NOK", "Pending....")),"")</f>
        <v/>
      </c>
      <c r="D1191" s="24"/>
      <c r="E1191" s="24"/>
      <c r="F1191" s="24"/>
      <c r="G1191" s="29"/>
      <c r="H1191" s="24"/>
    </row>
    <row r="1192" spans="2:8" x14ac:dyDescent="0.25">
      <c r="B1192" s="21" t="str" cm="1">
        <f t="array" aca="1" ref="B11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2" s="22" t="str" cm="1">
        <f t="array" aca="1" ref="C11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A1192, "'!C:C")),"NOK"))&gt;0, "NOK", "Pending....")),"")</f>
        <v/>
      </c>
      <c r="D1192" s="24"/>
      <c r="E1192" s="24"/>
      <c r="F1192" s="24"/>
      <c r="G1192" s="29"/>
      <c r="H1192" s="24"/>
    </row>
    <row r="1193" spans="2:8" x14ac:dyDescent="0.25">
      <c r="B1193" s="21" t="str" cm="1">
        <f t="array" aca="1" ref="B11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3" s="22" t="str" cm="1">
        <f t="array" aca="1" ref="C11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A1193, "'!C:C")),"NOK"))&gt;0, "NOK", "Pending....")),"")</f>
        <v/>
      </c>
      <c r="D1193" s="24"/>
      <c r="E1193" s="24"/>
      <c r="F1193" s="24"/>
      <c r="G1193" s="29"/>
      <c r="H1193" s="24"/>
    </row>
    <row r="1194" spans="2:8" x14ac:dyDescent="0.25">
      <c r="B1194" s="21" t="str" cm="1">
        <f t="array" aca="1" ref="B11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4" s="22" t="str" cm="1">
        <f t="array" aca="1" ref="C11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A1194, "'!C:C")),"NOK"))&gt;0, "NOK", "Pending....")),"")</f>
        <v/>
      </c>
      <c r="D1194" s="24"/>
      <c r="E1194" s="24"/>
      <c r="F1194" s="24"/>
      <c r="G1194" s="29"/>
      <c r="H1194" s="24"/>
    </row>
    <row r="1195" spans="2:8" x14ac:dyDescent="0.25">
      <c r="B1195" s="21" t="str" cm="1">
        <f t="array" aca="1" ref="B11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5" s="22" t="str" cm="1">
        <f t="array" aca="1" ref="C11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A1195, "'!C:C")),"NOK"))&gt;0, "NOK", "Pending....")),"")</f>
        <v/>
      </c>
      <c r="D1195" s="24"/>
      <c r="E1195" s="24"/>
      <c r="F1195" s="24"/>
      <c r="G1195" s="29"/>
      <c r="H1195" s="24"/>
    </row>
    <row r="1196" spans="2:8" x14ac:dyDescent="0.25">
      <c r="B1196" s="21" t="str" cm="1">
        <f t="array" aca="1" ref="B11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6" s="22" t="str" cm="1">
        <f t="array" aca="1" ref="C11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A1196, "'!C:C")),"NOK"))&gt;0, "NOK", "Pending....")),"")</f>
        <v/>
      </c>
      <c r="D1196" s="24"/>
      <c r="E1196" s="24"/>
      <c r="F1196" s="24"/>
      <c r="G1196" s="29"/>
      <c r="H1196" s="24"/>
    </row>
    <row r="1197" spans="2:8" x14ac:dyDescent="0.25">
      <c r="B1197" s="21" t="str" cm="1">
        <f t="array" aca="1" ref="B11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7" s="22" t="str" cm="1">
        <f t="array" aca="1" ref="C11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A1197, "'!C:C")),"NOK"))&gt;0, "NOK", "Pending....")),"")</f>
        <v/>
      </c>
      <c r="D1197" s="24"/>
      <c r="E1197" s="24"/>
      <c r="F1197" s="24"/>
      <c r="G1197" s="29"/>
      <c r="H1197" s="24"/>
    </row>
    <row r="1198" spans="2:8" x14ac:dyDescent="0.25">
      <c r="B1198" s="21" t="str" cm="1">
        <f t="array" aca="1" ref="B11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8" s="22" t="str" cm="1">
        <f t="array" aca="1" ref="C11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A1198, "'!C:C")),"NOK"))&gt;0, "NOK", "Pending....")),"")</f>
        <v/>
      </c>
      <c r="D1198" s="24"/>
      <c r="E1198" s="24"/>
      <c r="F1198" s="24"/>
      <c r="G1198" s="29"/>
      <c r="H1198" s="24"/>
    </row>
    <row r="1199" spans="2:8" x14ac:dyDescent="0.25">
      <c r="B1199" s="21" t="str" cm="1">
        <f t="array" aca="1" ref="B11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199" s="22" t="str" cm="1">
        <f t="array" aca="1" ref="C11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A1199, "'!C:C")),"NOK"))&gt;0, "NOK", "Pending....")),"")</f>
        <v/>
      </c>
      <c r="D1199" s="24"/>
      <c r="E1199" s="24"/>
      <c r="F1199" s="24"/>
      <c r="G1199" s="29"/>
      <c r="H1199" s="24"/>
    </row>
    <row r="1200" spans="2:8" x14ac:dyDescent="0.25">
      <c r="B1200" s="21" t="str" cm="1">
        <f t="array" aca="1" ref="B12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0" s="22" t="str" cm="1">
        <f t="array" aca="1" ref="C12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A1200, "'!C:C")),"NOK"))&gt;0, "NOK", "Pending....")),"")</f>
        <v/>
      </c>
      <c r="D1200" s="24"/>
      <c r="E1200" s="24"/>
      <c r="F1200" s="24"/>
      <c r="G1200" s="29"/>
      <c r="H1200" s="24"/>
    </row>
    <row r="1201" spans="2:8" x14ac:dyDescent="0.25">
      <c r="B1201" s="21" t="str" cm="1">
        <f t="array" aca="1" ref="B12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1" s="22" t="str" cm="1">
        <f t="array" aca="1" ref="C12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A1201, "'!C:C")),"NOK"))&gt;0, "NOK", "Pending....")),"")</f>
        <v/>
      </c>
      <c r="D1201" s="24"/>
      <c r="E1201" s="24"/>
      <c r="F1201" s="24"/>
      <c r="G1201" s="29"/>
      <c r="H1201" s="24"/>
    </row>
    <row r="1202" spans="2:8" x14ac:dyDescent="0.25">
      <c r="B1202" s="21" t="str" cm="1">
        <f t="array" aca="1" ref="B12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2" s="22" t="str" cm="1">
        <f t="array" aca="1" ref="C12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A1202, "'!C:C")),"NOK"))&gt;0, "NOK", "Pending....")),"")</f>
        <v/>
      </c>
      <c r="D1202" s="24"/>
      <c r="E1202" s="24"/>
      <c r="F1202" s="24"/>
      <c r="G1202" s="29"/>
      <c r="H1202" s="24"/>
    </row>
    <row r="1203" spans="2:8" x14ac:dyDescent="0.25">
      <c r="B1203" s="21" t="str" cm="1">
        <f t="array" aca="1" ref="B12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3" s="22" t="str" cm="1">
        <f t="array" aca="1" ref="C12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A1203, "'!C:C")),"NOK"))&gt;0, "NOK", "Pending....")),"")</f>
        <v/>
      </c>
      <c r="D1203" s="24"/>
      <c r="E1203" s="24"/>
      <c r="F1203" s="24"/>
      <c r="G1203" s="29"/>
      <c r="H1203" s="24"/>
    </row>
    <row r="1204" spans="2:8" x14ac:dyDescent="0.25">
      <c r="B1204" s="21" t="str" cm="1">
        <f t="array" aca="1" ref="B12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4" s="22" t="str" cm="1">
        <f t="array" aca="1" ref="C12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A1204, "'!C:C")),"NOK"))&gt;0, "NOK", "Pending....")),"")</f>
        <v/>
      </c>
      <c r="D1204" s="24"/>
      <c r="E1204" s="24"/>
      <c r="F1204" s="24"/>
      <c r="G1204" s="29"/>
      <c r="H1204" s="24"/>
    </row>
    <row r="1205" spans="2:8" x14ac:dyDescent="0.25">
      <c r="B1205" s="21" t="str" cm="1">
        <f t="array" aca="1" ref="B12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5" s="22" t="str" cm="1">
        <f t="array" aca="1" ref="C12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A1205, "'!C:C")),"NOK"))&gt;0, "NOK", "Pending....")),"")</f>
        <v/>
      </c>
      <c r="D1205" s="24"/>
      <c r="E1205" s="24"/>
      <c r="F1205" s="24"/>
      <c r="G1205" s="29"/>
      <c r="H1205" s="24"/>
    </row>
    <row r="1206" spans="2:8" x14ac:dyDescent="0.25">
      <c r="B1206" s="21" t="str" cm="1">
        <f t="array" aca="1" ref="B12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6" s="22" t="str" cm="1">
        <f t="array" aca="1" ref="C12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A1206, "'!C:C")),"NOK"))&gt;0, "NOK", "Pending....")),"")</f>
        <v/>
      </c>
      <c r="D1206" s="24"/>
      <c r="E1206" s="24"/>
      <c r="F1206" s="24"/>
      <c r="G1206" s="29"/>
      <c r="H1206" s="24"/>
    </row>
    <row r="1207" spans="2:8" x14ac:dyDescent="0.25">
      <c r="B1207" s="21" t="str" cm="1">
        <f t="array" aca="1" ref="B12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7" s="22" t="str" cm="1">
        <f t="array" aca="1" ref="C12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A1207, "'!C:C")),"NOK"))&gt;0, "NOK", "Pending....")),"")</f>
        <v/>
      </c>
      <c r="D1207" s="24"/>
      <c r="E1207" s="24"/>
      <c r="F1207" s="24"/>
      <c r="G1207" s="29"/>
      <c r="H1207" s="24"/>
    </row>
    <row r="1208" spans="2:8" x14ac:dyDescent="0.25">
      <c r="B1208" s="21" t="str" cm="1">
        <f t="array" aca="1" ref="B12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8" s="22" t="str" cm="1">
        <f t="array" aca="1" ref="C12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A1208, "'!C:C")),"NOK"))&gt;0, "NOK", "Pending....")),"")</f>
        <v/>
      </c>
      <c r="D1208" s="24"/>
      <c r="E1208" s="24"/>
      <c r="F1208" s="24"/>
      <c r="G1208" s="29"/>
      <c r="H1208" s="24"/>
    </row>
    <row r="1209" spans="2:8" x14ac:dyDescent="0.25">
      <c r="B1209" s="21" t="str" cm="1">
        <f t="array" aca="1" ref="B12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09" s="22" t="str" cm="1">
        <f t="array" aca="1" ref="C12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A1209, "'!C:C")),"NOK"))&gt;0, "NOK", "Pending....")),"")</f>
        <v/>
      </c>
      <c r="D1209" s="24"/>
      <c r="E1209" s="24"/>
      <c r="F1209" s="24"/>
      <c r="G1209" s="29"/>
      <c r="H1209" s="24"/>
    </row>
    <row r="1210" spans="2:8" x14ac:dyDescent="0.25">
      <c r="B1210" s="21" t="str" cm="1">
        <f t="array" aca="1" ref="B12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0" s="22" t="str" cm="1">
        <f t="array" aca="1" ref="C12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A1210, "'!C:C")),"NOK"))&gt;0, "NOK", "Pending....")),"")</f>
        <v/>
      </c>
      <c r="D1210" s="24"/>
      <c r="E1210" s="24"/>
      <c r="F1210" s="24"/>
      <c r="G1210" s="29"/>
      <c r="H1210" s="24"/>
    </row>
    <row r="1211" spans="2:8" x14ac:dyDescent="0.25">
      <c r="B1211" s="21" t="str" cm="1">
        <f t="array" aca="1" ref="B12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1" s="22" t="str" cm="1">
        <f t="array" aca="1" ref="C12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A1211, "'!C:C")),"NOK"))&gt;0, "NOK", "Pending....")),"")</f>
        <v/>
      </c>
      <c r="D1211" s="24"/>
      <c r="E1211" s="24"/>
      <c r="F1211" s="24"/>
      <c r="G1211" s="29"/>
      <c r="H1211" s="24"/>
    </row>
    <row r="1212" spans="2:8" x14ac:dyDescent="0.25">
      <c r="B1212" s="21" t="str" cm="1">
        <f t="array" aca="1" ref="B12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2" s="22" t="str" cm="1">
        <f t="array" aca="1" ref="C12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A1212, "'!C:C")),"NOK"))&gt;0, "NOK", "Pending....")),"")</f>
        <v/>
      </c>
      <c r="D1212" s="24"/>
      <c r="E1212" s="24"/>
      <c r="F1212" s="24"/>
      <c r="G1212" s="29"/>
      <c r="H1212" s="24"/>
    </row>
    <row r="1213" spans="2:8" x14ac:dyDescent="0.25">
      <c r="B1213" s="21" t="str" cm="1">
        <f t="array" aca="1" ref="B12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3" s="22" t="str" cm="1">
        <f t="array" aca="1" ref="C12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A1213, "'!C:C")),"NOK"))&gt;0, "NOK", "Pending....")),"")</f>
        <v/>
      </c>
      <c r="D1213" s="24"/>
      <c r="E1213" s="24"/>
      <c r="F1213" s="24"/>
      <c r="G1213" s="29"/>
      <c r="H1213" s="24"/>
    </row>
    <row r="1214" spans="2:8" x14ac:dyDescent="0.25">
      <c r="B1214" s="21" t="str" cm="1">
        <f t="array" aca="1" ref="B12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4" s="22" t="str" cm="1">
        <f t="array" aca="1" ref="C12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A1214, "'!C:C")),"NOK"))&gt;0, "NOK", "Pending....")),"")</f>
        <v/>
      </c>
      <c r="D1214" s="24"/>
      <c r="E1214" s="24"/>
      <c r="F1214" s="24"/>
      <c r="G1214" s="29"/>
      <c r="H1214" s="24"/>
    </row>
    <row r="1215" spans="2:8" x14ac:dyDescent="0.25">
      <c r="B1215" s="21" t="str" cm="1">
        <f t="array" aca="1" ref="B12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5" s="22" t="str" cm="1">
        <f t="array" aca="1" ref="C12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A1215, "'!C:C")),"NOK"))&gt;0, "NOK", "Pending....")),"")</f>
        <v/>
      </c>
      <c r="D1215" s="24"/>
      <c r="E1215" s="24"/>
      <c r="F1215" s="24"/>
      <c r="G1215" s="29"/>
      <c r="H1215" s="24"/>
    </row>
    <row r="1216" spans="2:8" x14ac:dyDescent="0.25">
      <c r="B1216" s="21" t="str" cm="1">
        <f t="array" aca="1" ref="B12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6" s="22" t="str" cm="1">
        <f t="array" aca="1" ref="C12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A1216, "'!C:C")),"NOK"))&gt;0, "NOK", "Pending....")),"")</f>
        <v/>
      </c>
      <c r="D1216" s="24"/>
      <c r="E1216" s="24"/>
      <c r="F1216" s="24"/>
      <c r="G1216" s="29"/>
      <c r="H1216" s="24"/>
    </row>
    <row r="1217" spans="2:8" x14ac:dyDescent="0.25">
      <c r="B1217" s="21" t="str" cm="1">
        <f t="array" aca="1" ref="B12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7" s="22" t="str" cm="1">
        <f t="array" aca="1" ref="C12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A1217, "'!C:C")),"NOK"))&gt;0, "NOK", "Pending....")),"")</f>
        <v/>
      </c>
      <c r="D1217" s="24"/>
      <c r="E1217" s="24"/>
      <c r="F1217" s="24"/>
      <c r="G1217" s="29"/>
      <c r="H1217" s="24"/>
    </row>
    <row r="1218" spans="2:8" x14ac:dyDescent="0.25">
      <c r="B1218" s="21" t="str" cm="1">
        <f t="array" aca="1" ref="B12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8" s="22" t="str" cm="1">
        <f t="array" aca="1" ref="C12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A1218, "'!C:C")),"NOK"))&gt;0, "NOK", "Pending....")),"")</f>
        <v/>
      </c>
      <c r="D1218" s="24"/>
      <c r="E1218" s="24"/>
      <c r="F1218" s="24"/>
      <c r="G1218" s="29"/>
      <c r="H1218" s="24"/>
    </row>
    <row r="1219" spans="2:8" x14ac:dyDescent="0.25">
      <c r="B1219" s="21" t="str" cm="1">
        <f t="array" aca="1" ref="B12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19" s="22" t="str" cm="1">
        <f t="array" aca="1" ref="C12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A1219, "'!C:C")),"NOK"))&gt;0, "NOK", "Pending....")),"")</f>
        <v/>
      </c>
      <c r="D1219" s="24"/>
      <c r="E1219" s="24"/>
      <c r="F1219" s="24"/>
      <c r="G1219" s="29"/>
      <c r="H1219" s="24"/>
    </row>
    <row r="1220" spans="2:8" x14ac:dyDescent="0.25">
      <c r="B1220" s="21" t="str" cm="1">
        <f t="array" aca="1" ref="B12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0" s="22" t="str" cm="1">
        <f t="array" aca="1" ref="C12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A1220, "'!C:C")),"NOK"))&gt;0, "NOK", "Pending....")),"")</f>
        <v/>
      </c>
      <c r="D1220" s="24"/>
      <c r="E1220" s="24"/>
      <c r="F1220" s="24"/>
      <c r="G1220" s="29"/>
      <c r="H1220" s="24"/>
    </row>
    <row r="1221" spans="2:8" x14ac:dyDescent="0.25">
      <c r="B1221" s="21" t="str" cm="1">
        <f t="array" aca="1" ref="B12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1" s="22" t="str" cm="1">
        <f t="array" aca="1" ref="C12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A1221, "'!C:C")),"NOK"))&gt;0, "NOK", "Pending....")),"")</f>
        <v/>
      </c>
      <c r="D1221" s="24"/>
      <c r="E1221" s="24"/>
      <c r="F1221" s="24"/>
      <c r="G1221" s="29"/>
      <c r="H1221" s="24"/>
    </row>
    <row r="1222" spans="2:8" x14ac:dyDescent="0.25">
      <c r="B1222" s="21" t="str" cm="1">
        <f t="array" aca="1" ref="B12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2" s="22" t="str" cm="1">
        <f t="array" aca="1" ref="C12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A1222, "'!C:C")),"NOK"))&gt;0, "NOK", "Pending....")),"")</f>
        <v/>
      </c>
      <c r="D1222" s="24"/>
      <c r="E1222" s="24"/>
      <c r="F1222" s="24"/>
      <c r="G1222" s="29"/>
      <c r="H1222" s="24"/>
    </row>
    <row r="1223" spans="2:8" x14ac:dyDescent="0.25">
      <c r="B1223" s="21" t="str" cm="1">
        <f t="array" aca="1" ref="B12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3" s="22" t="str" cm="1">
        <f t="array" aca="1" ref="C12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A1223, "'!C:C")),"NOK"))&gt;0, "NOK", "Pending....")),"")</f>
        <v/>
      </c>
      <c r="D1223" s="24"/>
      <c r="E1223" s="24"/>
      <c r="F1223" s="24"/>
      <c r="G1223" s="29"/>
      <c r="H1223" s="24"/>
    </row>
    <row r="1224" spans="2:8" x14ac:dyDescent="0.25">
      <c r="B1224" s="21" t="str" cm="1">
        <f t="array" aca="1" ref="B12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4" s="22" t="str" cm="1">
        <f t="array" aca="1" ref="C12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A1224, "'!C:C")),"NOK"))&gt;0, "NOK", "Pending....")),"")</f>
        <v/>
      </c>
      <c r="D1224" s="24"/>
      <c r="E1224" s="24"/>
      <c r="F1224" s="24"/>
      <c r="G1224" s="29"/>
      <c r="H1224" s="24"/>
    </row>
    <row r="1225" spans="2:8" x14ac:dyDescent="0.25">
      <c r="B1225" s="21" t="str" cm="1">
        <f t="array" aca="1" ref="B12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5" s="22" t="str" cm="1">
        <f t="array" aca="1" ref="C12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A1225, "'!C:C")),"NOK"))&gt;0, "NOK", "Pending....")),"")</f>
        <v/>
      </c>
      <c r="D1225" s="24"/>
      <c r="E1225" s="24"/>
      <c r="F1225" s="24"/>
      <c r="G1225" s="29"/>
      <c r="H1225" s="24"/>
    </row>
    <row r="1226" spans="2:8" x14ac:dyDescent="0.25">
      <c r="B1226" s="21" t="str" cm="1">
        <f t="array" aca="1" ref="B12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6" s="22" t="str" cm="1">
        <f t="array" aca="1" ref="C12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A1226, "'!C:C")),"NOK"))&gt;0, "NOK", "Pending....")),"")</f>
        <v/>
      </c>
      <c r="D1226" s="24"/>
      <c r="E1226" s="24"/>
      <c r="F1226" s="24"/>
      <c r="G1226" s="29"/>
      <c r="H1226" s="24"/>
    </row>
    <row r="1227" spans="2:8" x14ac:dyDescent="0.25">
      <c r="B1227" s="21" t="str" cm="1">
        <f t="array" aca="1" ref="B12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7" s="22" t="str" cm="1">
        <f t="array" aca="1" ref="C12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A1227, "'!C:C")),"NOK"))&gt;0, "NOK", "Pending....")),"")</f>
        <v/>
      </c>
      <c r="D1227" s="24"/>
      <c r="E1227" s="24"/>
      <c r="F1227" s="24"/>
      <c r="G1227" s="29"/>
      <c r="H1227" s="24"/>
    </row>
    <row r="1228" spans="2:8" x14ac:dyDescent="0.25">
      <c r="B1228" s="21" t="str" cm="1">
        <f t="array" aca="1" ref="B12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8" s="22" t="str" cm="1">
        <f t="array" aca="1" ref="C12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A1228, "'!C:C")),"NOK"))&gt;0, "NOK", "Pending....")),"")</f>
        <v/>
      </c>
      <c r="D1228" s="24"/>
      <c r="E1228" s="24"/>
      <c r="F1228" s="24"/>
      <c r="G1228" s="29"/>
      <c r="H1228" s="24"/>
    </row>
    <row r="1229" spans="2:8" x14ac:dyDescent="0.25">
      <c r="B1229" s="21" t="str" cm="1">
        <f t="array" aca="1" ref="B12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29" s="22" t="str" cm="1">
        <f t="array" aca="1" ref="C12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A1229, "'!C:C")),"NOK"))&gt;0, "NOK", "Pending....")),"")</f>
        <v/>
      </c>
      <c r="D1229" s="24"/>
      <c r="E1229" s="24"/>
      <c r="F1229" s="24"/>
      <c r="G1229" s="29"/>
      <c r="H1229" s="24"/>
    </row>
    <row r="1230" spans="2:8" x14ac:dyDescent="0.25">
      <c r="B1230" s="21" t="str" cm="1">
        <f t="array" aca="1" ref="B12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0" s="22" t="str" cm="1">
        <f t="array" aca="1" ref="C12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A1230, "'!C:C")),"NOK"))&gt;0, "NOK", "Pending....")),"")</f>
        <v/>
      </c>
      <c r="D1230" s="24"/>
      <c r="E1230" s="24"/>
      <c r="F1230" s="24"/>
      <c r="G1230" s="29"/>
      <c r="H1230" s="24"/>
    </row>
    <row r="1231" spans="2:8" x14ac:dyDescent="0.25">
      <c r="B1231" s="21" t="str" cm="1">
        <f t="array" aca="1" ref="B12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1" s="22" t="str" cm="1">
        <f t="array" aca="1" ref="C12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A1231, "'!C:C")),"NOK"))&gt;0, "NOK", "Pending....")),"")</f>
        <v/>
      </c>
      <c r="D1231" s="24"/>
      <c r="E1231" s="24"/>
      <c r="F1231" s="24"/>
      <c r="G1231" s="29"/>
      <c r="H1231" s="24"/>
    </row>
    <row r="1232" spans="2:8" x14ac:dyDescent="0.25">
      <c r="B1232" s="21" t="str" cm="1">
        <f t="array" aca="1" ref="B12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2" s="22" t="str" cm="1">
        <f t="array" aca="1" ref="C12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A1232, "'!C:C")),"NOK"))&gt;0, "NOK", "Pending....")),"")</f>
        <v/>
      </c>
      <c r="D1232" s="24"/>
      <c r="E1232" s="24"/>
      <c r="F1232" s="24"/>
      <c r="G1232" s="29"/>
      <c r="H1232" s="24"/>
    </row>
    <row r="1233" spans="2:8" x14ac:dyDescent="0.25">
      <c r="B1233" s="21" t="str" cm="1">
        <f t="array" aca="1" ref="B12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3" s="22" t="str" cm="1">
        <f t="array" aca="1" ref="C12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A1233, "'!C:C")),"NOK"))&gt;0, "NOK", "Pending....")),"")</f>
        <v/>
      </c>
      <c r="D1233" s="24"/>
      <c r="E1233" s="24"/>
      <c r="F1233" s="24"/>
      <c r="G1233" s="29"/>
      <c r="H1233" s="24"/>
    </row>
    <row r="1234" spans="2:8" x14ac:dyDescent="0.25">
      <c r="B1234" s="21" t="str" cm="1">
        <f t="array" aca="1" ref="B12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4" s="22" t="str" cm="1">
        <f t="array" aca="1" ref="C12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A1234, "'!C:C")),"NOK"))&gt;0, "NOK", "Pending....")),"")</f>
        <v/>
      </c>
      <c r="D1234" s="24"/>
      <c r="E1234" s="24"/>
      <c r="F1234" s="24"/>
      <c r="G1234" s="29"/>
      <c r="H1234" s="24"/>
    </row>
    <row r="1235" spans="2:8" x14ac:dyDescent="0.25">
      <c r="B1235" s="21" t="str" cm="1">
        <f t="array" aca="1" ref="B12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5" s="22" t="str" cm="1">
        <f t="array" aca="1" ref="C12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A1235, "'!C:C")),"NOK"))&gt;0, "NOK", "Pending....")),"")</f>
        <v/>
      </c>
      <c r="D1235" s="24"/>
      <c r="E1235" s="24"/>
      <c r="F1235" s="24"/>
      <c r="G1235" s="29"/>
      <c r="H1235" s="24"/>
    </row>
    <row r="1236" spans="2:8" x14ac:dyDescent="0.25">
      <c r="B1236" s="21" t="str" cm="1">
        <f t="array" aca="1" ref="B12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6" s="22" t="str" cm="1">
        <f t="array" aca="1" ref="C12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A1236, "'!C:C")),"NOK"))&gt;0, "NOK", "Pending....")),"")</f>
        <v/>
      </c>
      <c r="D1236" s="24"/>
      <c r="E1236" s="24"/>
      <c r="F1236" s="24"/>
      <c r="G1236" s="29"/>
      <c r="H1236" s="24"/>
    </row>
    <row r="1237" spans="2:8" x14ac:dyDescent="0.25">
      <c r="B1237" s="21" t="str" cm="1">
        <f t="array" aca="1" ref="B12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7" s="22" t="str" cm="1">
        <f t="array" aca="1" ref="C12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A1237, "'!C:C")),"NOK"))&gt;0, "NOK", "Pending....")),"")</f>
        <v/>
      </c>
      <c r="D1237" s="24"/>
      <c r="E1237" s="24"/>
      <c r="F1237" s="24"/>
      <c r="G1237" s="29"/>
      <c r="H1237" s="24"/>
    </row>
    <row r="1238" spans="2:8" x14ac:dyDescent="0.25">
      <c r="B1238" s="21" t="str" cm="1">
        <f t="array" aca="1" ref="B12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8" s="22" t="str" cm="1">
        <f t="array" aca="1" ref="C12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A1238, "'!C:C")),"NOK"))&gt;0, "NOK", "Pending....")),"")</f>
        <v/>
      </c>
      <c r="D1238" s="24"/>
      <c r="E1238" s="24"/>
      <c r="F1238" s="24"/>
      <c r="G1238" s="29"/>
      <c r="H1238" s="24"/>
    </row>
    <row r="1239" spans="2:8" x14ac:dyDescent="0.25">
      <c r="B1239" s="21" t="str" cm="1">
        <f t="array" aca="1" ref="B12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39" s="22" t="str" cm="1">
        <f t="array" aca="1" ref="C12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A1239, "'!C:C")),"NOK"))&gt;0, "NOK", "Pending....")),"")</f>
        <v/>
      </c>
      <c r="D1239" s="24"/>
      <c r="E1239" s="24"/>
      <c r="F1239" s="24"/>
      <c r="G1239" s="29"/>
      <c r="H1239" s="24"/>
    </row>
    <row r="1240" spans="2:8" x14ac:dyDescent="0.25">
      <c r="B1240" s="21" t="str" cm="1">
        <f t="array" aca="1" ref="B12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0" s="22" t="str" cm="1">
        <f t="array" aca="1" ref="C12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A1240, "'!C:C")),"NOK"))&gt;0, "NOK", "Pending....")),"")</f>
        <v/>
      </c>
      <c r="D1240" s="24"/>
      <c r="E1240" s="24"/>
      <c r="F1240" s="24"/>
      <c r="G1240" s="29"/>
      <c r="H1240" s="24"/>
    </row>
    <row r="1241" spans="2:8" x14ac:dyDescent="0.25">
      <c r="B1241" s="21" t="str" cm="1">
        <f t="array" aca="1" ref="B12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1" s="22" t="str" cm="1">
        <f t="array" aca="1" ref="C12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A1241, "'!C:C")),"NOK"))&gt;0, "NOK", "Pending....")),"")</f>
        <v/>
      </c>
      <c r="D1241" s="24"/>
      <c r="E1241" s="24"/>
      <c r="F1241" s="24"/>
      <c r="G1241" s="29"/>
      <c r="H1241" s="24"/>
    </row>
    <row r="1242" spans="2:8" x14ac:dyDescent="0.25">
      <c r="B1242" s="21" t="str" cm="1">
        <f t="array" aca="1" ref="B12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2" s="22" t="str" cm="1">
        <f t="array" aca="1" ref="C12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A1242, "'!C:C")),"NOK"))&gt;0, "NOK", "Pending....")),"")</f>
        <v/>
      </c>
      <c r="D1242" s="24"/>
      <c r="E1242" s="24"/>
      <c r="F1242" s="24"/>
      <c r="G1242" s="29"/>
      <c r="H1242" s="24"/>
    </row>
    <row r="1243" spans="2:8" x14ac:dyDescent="0.25">
      <c r="B1243" s="21" t="str" cm="1">
        <f t="array" aca="1" ref="B12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3" s="22" t="str" cm="1">
        <f t="array" aca="1" ref="C12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A1243, "'!C:C")),"NOK"))&gt;0, "NOK", "Pending....")),"")</f>
        <v/>
      </c>
      <c r="D1243" s="24"/>
      <c r="E1243" s="24"/>
      <c r="F1243" s="24"/>
      <c r="G1243" s="29"/>
      <c r="H1243" s="24"/>
    </row>
    <row r="1244" spans="2:8" x14ac:dyDescent="0.25">
      <c r="B1244" s="21" t="str" cm="1">
        <f t="array" aca="1" ref="B12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4" s="22" t="str" cm="1">
        <f t="array" aca="1" ref="C12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A1244, "'!C:C")),"NOK"))&gt;0, "NOK", "Pending....")),"")</f>
        <v/>
      </c>
      <c r="D1244" s="24"/>
      <c r="E1244" s="24"/>
      <c r="F1244" s="24"/>
      <c r="G1244" s="29"/>
      <c r="H1244" s="24"/>
    </row>
    <row r="1245" spans="2:8" x14ac:dyDescent="0.25">
      <c r="B1245" s="21" t="str" cm="1">
        <f t="array" aca="1" ref="B12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5" s="22" t="str" cm="1">
        <f t="array" aca="1" ref="C12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A1245, "'!C:C")),"NOK"))&gt;0, "NOK", "Pending....")),"")</f>
        <v/>
      </c>
      <c r="D1245" s="24"/>
      <c r="E1245" s="24"/>
      <c r="F1245" s="24"/>
      <c r="G1245" s="29"/>
      <c r="H1245" s="24"/>
    </row>
    <row r="1246" spans="2:8" x14ac:dyDescent="0.25">
      <c r="B1246" s="21" t="str" cm="1">
        <f t="array" aca="1" ref="B12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6" s="22" t="str" cm="1">
        <f t="array" aca="1" ref="C12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A1246, "'!C:C")),"NOK"))&gt;0, "NOK", "Pending....")),"")</f>
        <v/>
      </c>
      <c r="D1246" s="24"/>
      <c r="E1246" s="24"/>
      <c r="F1246" s="24"/>
      <c r="G1246" s="29"/>
      <c r="H1246" s="24"/>
    </row>
    <row r="1247" spans="2:8" x14ac:dyDescent="0.25">
      <c r="B1247" s="21" t="str" cm="1">
        <f t="array" aca="1" ref="B12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7" s="22" t="str" cm="1">
        <f t="array" aca="1" ref="C12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A1247, "'!C:C")),"NOK"))&gt;0, "NOK", "Pending....")),"")</f>
        <v/>
      </c>
      <c r="D1247" s="24"/>
      <c r="E1247" s="24"/>
      <c r="F1247" s="24"/>
      <c r="G1247" s="29"/>
      <c r="H1247" s="24"/>
    </row>
    <row r="1248" spans="2:8" x14ac:dyDescent="0.25">
      <c r="B1248" s="21" t="str" cm="1">
        <f t="array" aca="1" ref="B12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8" s="22" t="str" cm="1">
        <f t="array" aca="1" ref="C12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A1248, "'!C:C")),"NOK"))&gt;0, "NOK", "Pending....")),"")</f>
        <v/>
      </c>
      <c r="D1248" s="24"/>
      <c r="E1248" s="24"/>
      <c r="F1248" s="24"/>
      <c r="G1248" s="29"/>
      <c r="H1248" s="24"/>
    </row>
    <row r="1249" spans="2:8" x14ac:dyDescent="0.25">
      <c r="B1249" s="21" t="str" cm="1">
        <f t="array" aca="1" ref="B12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49" s="22" t="str" cm="1">
        <f t="array" aca="1" ref="C12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A1249, "'!C:C")),"NOK"))&gt;0, "NOK", "Pending....")),"")</f>
        <v/>
      </c>
      <c r="D1249" s="24"/>
      <c r="E1249" s="24"/>
      <c r="F1249" s="24"/>
      <c r="G1249" s="29"/>
      <c r="H1249" s="24"/>
    </row>
    <row r="1250" spans="2:8" x14ac:dyDescent="0.25">
      <c r="B1250" s="21" t="str" cm="1">
        <f t="array" aca="1" ref="B12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0" s="22" t="str" cm="1">
        <f t="array" aca="1" ref="C12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A1250, "'!C:C")),"NOK"))&gt;0, "NOK", "Pending....")),"")</f>
        <v/>
      </c>
      <c r="D1250" s="24"/>
      <c r="E1250" s="24"/>
      <c r="F1250" s="24"/>
      <c r="G1250" s="29"/>
      <c r="H1250" s="24"/>
    </row>
    <row r="1251" spans="2:8" x14ac:dyDescent="0.25">
      <c r="B1251" s="21" t="str" cm="1">
        <f t="array" aca="1" ref="B12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1" s="22" t="str" cm="1">
        <f t="array" aca="1" ref="C12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A1251, "'!C:C")),"NOK"))&gt;0, "NOK", "Pending....")),"")</f>
        <v/>
      </c>
      <c r="D1251" s="24"/>
      <c r="E1251" s="24"/>
      <c r="F1251" s="24"/>
      <c r="G1251" s="29"/>
      <c r="H1251" s="24"/>
    </row>
    <row r="1252" spans="2:8" x14ac:dyDescent="0.25">
      <c r="B1252" s="21" t="str" cm="1">
        <f t="array" aca="1" ref="B12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2" s="22" t="str" cm="1">
        <f t="array" aca="1" ref="C12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A1252, "'!C:C")),"NOK"))&gt;0, "NOK", "Pending....")),"")</f>
        <v/>
      </c>
      <c r="D1252" s="24"/>
      <c r="E1252" s="24"/>
      <c r="F1252" s="24"/>
      <c r="G1252" s="29"/>
      <c r="H1252" s="24"/>
    </row>
    <row r="1253" spans="2:8" x14ac:dyDescent="0.25">
      <c r="B1253" s="21" t="str" cm="1">
        <f t="array" aca="1" ref="B12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3" s="22" t="str" cm="1">
        <f t="array" aca="1" ref="C12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A1253, "'!C:C")),"NOK"))&gt;0, "NOK", "Pending....")),"")</f>
        <v/>
      </c>
      <c r="D1253" s="24"/>
      <c r="E1253" s="24"/>
      <c r="F1253" s="24"/>
      <c r="G1253" s="29"/>
      <c r="H1253" s="24"/>
    </row>
    <row r="1254" spans="2:8" x14ac:dyDescent="0.25">
      <c r="B1254" s="21" t="str" cm="1">
        <f t="array" aca="1" ref="B12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4" s="22" t="str" cm="1">
        <f t="array" aca="1" ref="C12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A1254, "'!C:C")),"NOK"))&gt;0, "NOK", "Pending....")),"")</f>
        <v/>
      </c>
      <c r="D1254" s="24"/>
      <c r="E1254" s="24"/>
      <c r="F1254" s="24"/>
      <c r="G1254" s="29"/>
      <c r="H1254" s="24"/>
    </row>
    <row r="1255" spans="2:8" x14ac:dyDescent="0.25">
      <c r="B1255" s="21" t="str" cm="1">
        <f t="array" aca="1" ref="B12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5" s="22" t="str" cm="1">
        <f t="array" aca="1" ref="C12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A1255, "'!C:C")),"NOK"))&gt;0, "NOK", "Pending....")),"")</f>
        <v/>
      </c>
      <c r="D1255" s="24"/>
      <c r="E1255" s="24"/>
      <c r="F1255" s="24"/>
      <c r="G1255" s="29"/>
      <c r="H1255" s="24"/>
    </row>
    <row r="1256" spans="2:8" x14ac:dyDescent="0.25">
      <c r="B1256" s="21" t="str" cm="1">
        <f t="array" aca="1" ref="B12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6" s="22" t="str" cm="1">
        <f t="array" aca="1" ref="C12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A1256, "'!C:C")),"NOK"))&gt;0, "NOK", "Pending....")),"")</f>
        <v/>
      </c>
      <c r="D1256" s="24"/>
      <c r="E1256" s="24"/>
      <c r="F1256" s="24"/>
      <c r="G1256" s="29"/>
      <c r="H1256" s="24"/>
    </row>
    <row r="1257" spans="2:8" x14ac:dyDescent="0.25">
      <c r="B1257" s="21" t="str" cm="1">
        <f t="array" aca="1" ref="B12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7" s="22" t="str" cm="1">
        <f t="array" aca="1" ref="C12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A1257, "'!C:C")),"NOK"))&gt;0, "NOK", "Pending....")),"")</f>
        <v/>
      </c>
      <c r="D1257" s="24"/>
      <c r="E1257" s="24"/>
      <c r="F1257" s="24"/>
      <c r="G1257" s="29"/>
      <c r="H1257" s="24"/>
    </row>
    <row r="1258" spans="2:8" x14ac:dyDescent="0.25">
      <c r="B1258" s="21" t="str" cm="1">
        <f t="array" aca="1" ref="B12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8" s="22" t="str" cm="1">
        <f t="array" aca="1" ref="C12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A1258, "'!C:C")),"NOK"))&gt;0, "NOK", "Pending....")),"")</f>
        <v/>
      </c>
      <c r="D1258" s="24"/>
      <c r="E1258" s="24"/>
      <c r="F1258" s="24"/>
      <c r="G1258" s="29"/>
      <c r="H1258" s="24"/>
    </row>
    <row r="1259" spans="2:8" x14ac:dyDescent="0.25">
      <c r="B1259" s="21" t="str" cm="1">
        <f t="array" aca="1" ref="B12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59" s="22" t="str" cm="1">
        <f t="array" aca="1" ref="C12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A1259, "'!C:C")),"NOK"))&gt;0, "NOK", "Pending....")),"")</f>
        <v/>
      </c>
      <c r="D1259" s="24"/>
      <c r="E1259" s="24"/>
      <c r="F1259" s="24"/>
      <c r="G1259" s="29"/>
      <c r="H1259" s="24"/>
    </row>
    <row r="1260" spans="2:8" x14ac:dyDescent="0.25">
      <c r="B1260" s="21" t="str" cm="1">
        <f t="array" aca="1" ref="B12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0" s="22" t="str" cm="1">
        <f t="array" aca="1" ref="C12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A1260, "'!C:C")),"NOK"))&gt;0, "NOK", "Pending....")),"")</f>
        <v/>
      </c>
      <c r="D1260" s="24"/>
      <c r="E1260" s="24"/>
      <c r="F1260" s="24"/>
      <c r="G1260" s="29"/>
      <c r="H1260" s="24"/>
    </row>
    <row r="1261" spans="2:8" x14ac:dyDescent="0.25">
      <c r="B1261" s="21" t="str" cm="1">
        <f t="array" aca="1" ref="B12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1" s="22" t="str" cm="1">
        <f t="array" aca="1" ref="C12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A1261, "'!C:C")),"NOK"))&gt;0, "NOK", "Pending....")),"")</f>
        <v/>
      </c>
      <c r="D1261" s="24"/>
      <c r="E1261" s="24"/>
      <c r="F1261" s="24"/>
      <c r="G1261" s="29"/>
      <c r="H1261" s="24"/>
    </row>
    <row r="1262" spans="2:8" x14ac:dyDescent="0.25">
      <c r="B1262" s="21" t="str" cm="1">
        <f t="array" aca="1" ref="B12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2" s="22" t="str" cm="1">
        <f t="array" aca="1" ref="C12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A1262, "'!C:C")),"NOK"))&gt;0, "NOK", "Pending....")),"")</f>
        <v/>
      </c>
      <c r="D1262" s="24"/>
      <c r="E1262" s="24"/>
      <c r="F1262" s="24"/>
      <c r="G1262" s="29"/>
      <c r="H1262" s="24"/>
    </row>
    <row r="1263" spans="2:8" x14ac:dyDescent="0.25">
      <c r="B1263" s="21" t="str" cm="1">
        <f t="array" aca="1" ref="B12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3" s="22" t="str" cm="1">
        <f t="array" aca="1" ref="C12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A1263, "'!C:C")),"NOK"))&gt;0, "NOK", "Pending....")),"")</f>
        <v/>
      </c>
      <c r="D1263" s="24"/>
      <c r="E1263" s="24"/>
      <c r="F1263" s="24"/>
      <c r="G1263" s="29"/>
      <c r="H1263" s="24"/>
    </row>
    <row r="1264" spans="2:8" x14ac:dyDescent="0.25">
      <c r="B1264" s="21" t="str" cm="1">
        <f t="array" aca="1" ref="B12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4" s="22" t="str" cm="1">
        <f t="array" aca="1" ref="C12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A1264, "'!C:C")),"NOK"))&gt;0, "NOK", "Pending....")),"")</f>
        <v/>
      </c>
      <c r="D1264" s="24"/>
      <c r="E1264" s="24"/>
      <c r="F1264" s="24"/>
      <c r="G1264" s="29"/>
      <c r="H1264" s="24"/>
    </row>
    <row r="1265" spans="2:8" x14ac:dyDescent="0.25">
      <c r="B1265" s="21" t="str" cm="1">
        <f t="array" aca="1" ref="B12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5" s="22" t="str" cm="1">
        <f t="array" aca="1" ref="C12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A1265, "'!C:C")),"NOK"))&gt;0, "NOK", "Pending....")),"")</f>
        <v/>
      </c>
      <c r="D1265" s="24"/>
      <c r="E1265" s="24"/>
      <c r="F1265" s="24"/>
      <c r="G1265" s="29"/>
      <c r="H1265" s="24"/>
    </row>
    <row r="1266" spans="2:8" x14ac:dyDescent="0.25">
      <c r="B1266" s="21" t="str" cm="1">
        <f t="array" aca="1" ref="B12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6" s="22" t="str" cm="1">
        <f t="array" aca="1" ref="C12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A1266, "'!C:C")),"NOK"))&gt;0, "NOK", "Pending....")),"")</f>
        <v/>
      </c>
      <c r="D1266" s="24"/>
      <c r="E1266" s="24"/>
      <c r="F1266" s="24"/>
      <c r="G1266" s="29"/>
      <c r="H1266" s="24"/>
    </row>
    <row r="1267" spans="2:8" x14ac:dyDescent="0.25">
      <c r="B1267" s="21" t="str" cm="1">
        <f t="array" aca="1" ref="B12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7" s="22" t="str" cm="1">
        <f t="array" aca="1" ref="C12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A1267, "'!C:C")),"NOK"))&gt;0, "NOK", "Pending....")),"")</f>
        <v/>
      </c>
      <c r="D1267" s="24"/>
      <c r="E1267" s="24"/>
      <c r="F1267" s="24"/>
      <c r="G1267" s="29"/>
      <c r="H1267" s="24"/>
    </row>
    <row r="1268" spans="2:8" x14ac:dyDescent="0.25">
      <c r="B1268" s="21" t="str" cm="1">
        <f t="array" aca="1" ref="B12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8" s="22" t="str" cm="1">
        <f t="array" aca="1" ref="C12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A1268, "'!C:C")),"NOK"))&gt;0, "NOK", "Pending....")),"")</f>
        <v/>
      </c>
      <c r="D1268" s="24"/>
      <c r="E1268" s="24"/>
      <c r="F1268" s="24"/>
      <c r="G1268" s="29"/>
      <c r="H1268" s="24"/>
    </row>
    <row r="1269" spans="2:8" x14ac:dyDescent="0.25">
      <c r="B1269" s="21" t="str" cm="1">
        <f t="array" aca="1" ref="B12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69" s="22" t="str" cm="1">
        <f t="array" aca="1" ref="C12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A1269, "'!C:C")),"NOK"))&gt;0, "NOK", "Pending....")),"")</f>
        <v/>
      </c>
      <c r="D1269" s="24"/>
      <c r="E1269" s="24"/>
      <c r="F1269" s="24"/>
      <c r="G1269" s="29"/>
      <c r="H1269" s="24"/>
    </row>
    <row r="1270" spans="2:8" x14ac:dyDescent="0.25">
      <c r="B1270" s="21" t="str" cm="1">
        <f t="array" aca="1" ref="B12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0" s="22" t="str" cm="1">
        <f t="array" aca="1" ref="C12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A1270, "'!C:C")),"NOK"))&gt;0, "NOK", "Pending....")),"")</f>
        <v/>
      </c>
      <c r="D1270" s="24"/>
      <c r="E1270" s="24"/>
      <c r="F1270" s="24"/>
      <c r="G1270" s="29"/>
      <c r="H1270" s="24"/>
    </row>
    <row r="1271" spans="2:8" x14ac:dyDescent="0.25">
      <c r="B1271" s="21" t="str" cm="1">
        <f t="array" aca="1" ref="B12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1" s="22" t="str" cm="1">
        <f t="array" aca="1" ref="C12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A1271, "'!C:C")),"NOK"))&gt;0, "NOK", "Pending....")),"")</f>
        <v/>
      </c>
      <c r="D1271" s="24"/>
      <c r="E1271" s="24"/>
      <c r="F1271" s="24"/>
      <c r="G1271" s="29"/>
      <c r="H1271" s="24"/>
    </row>
    <row r="1272" spans="2:8" x14ac:dyDescent="0.25">
      <c r="B1272" s="21" t="str" cm="1">
        <f t="array" aca="1" ref="B12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2" s="22" t="str" cm="1">
        <f t="array" aca="1" ref="C12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A1272, "'!C:C")),"NOK"))&gt;0, "NOK", "Pending....")),"")</f>
        <v/>
      </c>
      <c r="D1272" s="24"/>
      <c r="E1272" s="24"/>
      <c r="F1272" s="24"/>
      <c r="G1272" s="29"/>
      <c r="H1272" s="24"/>
    </row>
    <row r="1273" spans="2:8" x14ac:dyDescent="0.25">
      <c r="B1273" s="21" t="str" cm="1">
        <f t="array" aca="1" ref="B12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3" s="22" t="str" cm="1">
        <f t="array" aca="1" ref="C12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A1273, "'!C:C")),"NOK"))&gt;0, "NOK", "Pending....")),"")</f>
        <v/>
      </c>
      <c r="D1273" s="24"/>
      <c r="E1273" s="24"/>
      <c r="F1273" s="24"/>
      <c r="G1273" s="29"/>
      <c r="H1273" s="24"/>
    </row>
    <row r="1274" spans="2:8" x14ac:dyDescent="0.25">
      <c r="B1274" s="21" t="str" cm="1">
        <f t="array" aca="1" ref="B12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4" s="22" t="str" cm="1">
        <f t="array" aca="1" ref="C12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A1274, "'!C:C")),"NOK"))&gt;0, "NOK", "Pending....")),"")</f>
        <v/>
      </c>
      <c r="D1274" s="24"/>
      <c r="E1274" s="24"/>
      <c r="F1274" s="24"/>
      <c r="G1274" s="29"/>
      <c r="H1274" s="24"/>
    </row>
    <row r="1275" spans="2:8" x14ac:dyDescent="0.25">
      <c r="B1275" s="21" t="str" cm="1">
        <f t="array" aca="1" ref="B12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5" s="22" t="str" cm="1">
        <f t="array" aca="1" ref="C12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A1275, "'!C:C")),"NOK"))&gt;0, "NOK", "Pending....")),"")</f>
        <v/>
      </c>
      <c r="D1275" s="24"/>
      <c r="E1275" s="24"/>
      <c r="F1275" s="24"/>
      <c r="G1275" s="29"/>
      <c r="H1275" s="24"/>
    </row>
    <row r="1276" spans="2:8" x14ac:dyDescent="0.25">
      <c r="B1276" s="21" t="str" cm="1">
        <f t="array" aca="1" ref="B12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6" s="22" t="str" cm="1">
        <f t="array" aca="1" ref="C12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A1276, "'!C:C")),"NOK"))&gt;0, "NOK", "Pending....")),"")</f>
        <v/>
      </c>
      <c r="D1276" s="24"/>
      <c r="E1276" s="24"/>
      <c r="F1276" s="24"/>
      <c r="G1276" s="29"/>
      <c r="H1276" s="24"/>
    </row>
    <row r="1277" spans="2:8" x14ac:dyDescent="0.25">
      <c r="B1277" s="21" t="str" cm="1">
        <f t="array" aca="1" ref="B12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7" s="22" t="str" cm="1">
        <f t="array" aca="1" ref="C12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A1277, "'!C:C")),"NOK"))&gt;0, "NOK", "Pending....")),"")</f>
        <v/>
      </c>
      <c r="D1277" s="24"/>
      <c r="E1277" s="24"/>
      <c r="F1277" s="24"/>
      <c r="G1277" s="29"/>
      <c r="H1277" s="24"/>
    </row>
    <row r="1278" spans="2:8" x14ac:dyDescent="0.25">
      <c r="B1278" s="21" t="str" cm="1">
        <f t="array" aca="1" ref="B12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8" s="22" t="str" cm="1">
        <f t="array" aca="1" ref="C12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A1278, "'!C:C")),"NOK"))&gt;0, "NOK", "Pending....")),"")</f>
        <v/>
      </c>
      <c r="D1278" s="24"/>
      <c r="E1278" s="24"/>
      <c r="F1278" s="24"/>
      <c r="G1278" s="29"/>
      <c r="H1278" s="24"/>
    </row>
    <row r="1279" spans="2:8" x14ac:dyDescent="0.25">
      <c r="B1279" s="21" t="str" cm="1">
        <f t="array" aca="1" ref="B12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79" s="22" t="str" cm="1">
        <f t="array" aca="1" ref="C12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A1279, "'!C:C")),"NOK"))&gt;0, "NOK", "Pending....")),"")</f>
        <v/>
      </c>
      <c r="D1279" s="24"/>
      <c r="E1279" s="24"/>
      <c r="F1279" s="24"/>
      <c r="G1279" s="29"/>
      <c r="H1279" s="24"/>
    </row>
    <row r="1280" spans="2:8" x14ac:dyDescent="0.25">
      <c r="B1280" s="21" t="str" cm="1">
        <f t="array" aca="1" ref="B12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0" s="22" t="str" cm="1">
        <f t="array" aca="1" ref="C12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A1280, "'!C:C")),"NOK"))&gt;0, "NOK", "Pending....")),"")</f>
        <v/>
      </c>
      <c r="D1280" s="24"/>
      <c r="E1280" s="24"/>
      <c r="F1280" s="24"/>
      <c r="G1280" s="29"/>
      <c r="H1280" s="24"/>
    </row>
    <row r="1281" spans="2:8" x14ac:dyDescent="0.25">
      <c r="B1281" s="21" t="str" cm="1">
        <f t="array" aca="1" ref="B12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1" s="22" t="str" cm="1">
        <f t="array" aca="1" ref="C12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A1281, "'!C:C")),"NOK"))&gt;0, "NOK", "Pending....")),"")</f>
        <v/>
      </c>
      <c r="D1281" s="24"/>
      <c r="E1281" s="24"/>
      <c r="F1281" s="24"/>
      <c r="G1281" s="29"/>
      <c r="H1281" s="24"/>
    </row>
    <row r="1282" spans="2:8" x14ac:dyDescent="0.25">
      <c r="B1282" s="21" t="str" cm="1">
        <f t="array" aca="1" ref="B12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2" s="22" t="str" cm="1">
        <f t="array" aca="1" ref="C12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A1282, "'!C:C")),"NOK"))&gt;0, "NOK", "Pending....")),"")</f>
        <v/>
      </c>
      <c r="D1282" s="24"/>
      <c r="E1282" s="24"/>
      <c r="F1282" s="24"/>
      <c r="G1282" s="29"/>
      <c r="H1282" s="24"/>
    </row>
    <row r="1283" spans="2:8" x14ac:dyDescent="0.25">
      <c r="B1283" s="21" t="str" cm="1">
        <f t="array" aca="1" ref="B12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3" s="22" t="str" cm="1">
        <f t="array" aca="1" ref="C12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A1283, "'!C:C")),"NOK"))&gt;0, "NOK", "Pending....")),"")</f>
        <v/>
      </c>
      <c r="D1283" s="24"/>
      <c r="E1283" s="24"/>
      <c r="F1283" s="24"/>
      <c r="G1283" s="29"/>
      <c r="H1283" s="24"/>
    </row>
    <row r="1284" spans="2:8" x14ac:dyDescent="0.25">
      <c r="B1284" s="21" t="str" cm="1">
        <f t="array" aca="1" ref="B12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4" s="22" t="str" cm="1">
        <f t="array" aca="1" ref="C12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A1284, "'!C:C")),"NOK"))&gt;0, "NOK", "Pending....")),"")</f>
        <v/>
      </c>
      <c r="D1284" s="24"/>
      <c r="E1284" s="24"/>
      <c r="F1284" s="24"/>
      <c r="G1284" s="29"/>
      <c r="H1284" s="24"/>
    </row>
    <row r="1285" spans="2:8" x14ac:dyDescent="0.25">
      <c r="B1285" s="21" t="str" cm="1">
        <f t="array" aca="1" ref="B12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5" s="22" t="str" cm="1">
        <f t="array" aca="1" ref="C12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A1285, "'!C:C")),"NOK"))&gt;0, "NOK", "Pending....")),"")</f>
        <v/>
      </c>
      <c r="D1285" s="24"/>
      <c r="E1285" s="24"/>
      <c r="F1285" s="24"/>
      <c r="G1285" s="29"/>
      <c r="H1285" s="24"/>
    </row>
    <row r="1286" spans="2:8" x14ac:dyDescent="0.25">
      <c r="B1286" s="21" t="str" cm="1">
        <f t="array" aca="1" ref="B12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6" s="22" t="str" cm="1">
        <f t="array" aca="1" ref="C12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A1286, "'!C:C")),"NOK"))&gt;0, "NOK", "Pending....")),"")</f>
        <v/>
      </c>
      <c r="D1286" s="24"/>
      <c r="E1286" s="24"/>
      <c r="F1286" s="24"/>
      <c r="G1286" s="29"/>
      <c r="H1286" s="24"/>
    </row>
    <row r="1287" spans="2:8" x14ac:dyDescent="0.25">
      <c r="B1287" s="21" t="str" cm="1">
        <f t="array" aca="1" ref="B12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7" s="22" t="str" cm="1">
        <f t="array" aca="1" ref="C12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A1287, "'!C:C")),"NOK"))&gt;0, "NOK", "Pending....")),"")</f>
        <v/>
      </c>
      <c r="D1287" s="24"/>
      <c r="E1287" s="24"/>
      <c r="F1287" s="24"/>
      <c r="G1287" s="29"/>
      <c r="H1287" s="24"/>
    </row>
    <row r="1288" spans="2:8" x14ac:dyDescent="0.25">
      <c r="B1288" s="21" t="str" cm="1">
        <f t="array" aca="1" ref="B12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8" s="22" t="str" cm="1">
        <f t="array" aca="1" ref="C12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A1288, "'!C:C")),"NOK"))&gt;0, "NOK", "Pending....")),"")</f>
        <v/>
      </c>
      <c r="D1288" s="24"/>
      <c r="E1288" s="24"/>
      <c r="F1288" s="24"/>
      <c r="G1288" s="29"/>
      <c r="H1288" s="24"/>
    </row>
    <row r="1289" spans="2:8" x14ac:dyDescent="0.25">
      <c r="B1289" s="21" t="str" cm="1">
        <f t="array" aca="1" ref="B12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89" s="22" t="str" cm="1">
        <f t="array" aca="1" ref="C12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A1289, "'!C:C")),"NOK"))&gt;0, "NOK", "Pending....")),"")</f>
        <v/>
      </c>
      <c r="D1289" s="24"/>
      <c r="E1289" s="24"/>
      <c r="F1289" s="24"/>
      <c r="G1289" s="29"/>
      <c r="H1289" s="24"/>
    </row>
    <row r="1290" spans="2:8" x14ac:dyDescent="0.25">
      <c r="B1290" s="21" t="str" cm="1">
        <f t="array" aca="1" ref="B12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0" s="22" t="str" cm="1">
        <f t="array" aca="1" ref="C12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A1290, "'!C:C")),"NOK"))&gt;0, "NOK", "Pending....")),"")</f>
        <v/>
      </c>
      <c r="D1290" s="24"/>
      <c r="E1290" s="24"/>
      <c r="F1290" s="24"/>
      <c r="G1290" s="29"/>
      <c r="H1290" s="24"/>
    </row>
    <row r="1291" spans="2:8" x14ac:dyDescent="0.25">
      <c r="B1291" s="21" t="str" cm="1">
        <f t="array" aca="1" ref="B12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1" s="22" t="str" cm="1">
        <f t="array" aca="1" ref="C12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A1291, "'!C:C")),"NOK"))&gt;0, "NOK", "Pending....")),"")</f>
        <v/>
      </c>
      <c r="D1291" s="24"/>
      <c r="E1291" s="24"/>
      <c r="F1291" s="24"/>
      <c r="G1291" s="29"/>
      <c r="H1291" s="24"/>
    </row>
    <row r="1292" spans="2:8" x14ac:dyDescent="0.25">
      <c r="B1292" s="21" t="str" cm="1">
        <f t="array" aca="1" ref="B12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2" s="22" t="str" cm="1">
        <f t="array" aca="1" ref="C12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A1292, "'!C:C")),"NOK"))&gt;0, "NOK", "Pending....")),"")</f>
        <v/>
      </c>
      <c r="D1292" s="24"/>
      <c r="E1292" s="24"/>
      <c r="F1292" s="24"/>
      <c r="G1292" s="29"/>
      <c r="H1292" s="24"/>
    </row>
    <row r="1293" spans="2:8" x14ac:dyDescent="0.25">
      <c r="B1293" s="21" t="str" cm="1">
        <f t="array" aca="1" ref="B12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3" s="22" t="str" cm="1">
        <f t="array" aca="1" ref="C12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A1293, "'!C:C")),"NOK"))&gt;0, "NOK", "Pending....")),"")</f>
        <v/>
      </c>
      <c r="D1293" s="24"/>
      <c r="E1293" s="24"/>
      <c r="F1293" s="24"/>
      <c r="G1293" s="29"/>
      <c r="H1293" s="24"/>
    </row>
    <row r="1294" spans="2:8" x14ac:dyDescent="0.25">
      <c r="B1294" s="21" t="str" cm="1">
        <f t="array" aca="1" ref="B12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4" s="22" t="str" cm="1">
        <f t="array" aca="1" ref="C12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A1294, "'!C:C")),"NOK"))&gt;0, "NOK", "Pending....")),"")</f>
        <v/>
      </c>
      <c r="D1294" s="24"/>
      <c r="E1294" s="24"/>
      <c r="F1294" s="24"/>
      <c r="G1294" s="29"/>
      <c r="H1294" s="24"/>
    </row>
    <row r="1295" spans="2:8" x14ac:dyDescent="0.25">
      <c r="B1295" s="21" t="str" cm="1">
        <f t="array" aca="1" ref="B12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5" s="22" t="str" cm="1">
        <f t="array" aca="1" ref="C12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A1295, "'!C:C")),"NOK"))&gt;0, "NOK", "Pending....")),"")</f>
        <v/>
      </c>
      <c r="D1295" s="24"/>
      <c r="E1295" s="24"/>
      <c r="F1295" s="24"/>
      <c r="G1295" s="29"/>
      <c r="H1295" s="24"/>
    </row>
    <row r="1296" spans="2:8" x14ac:dyDescent="0.25">
      <c r="B1296" s="21" t="str" cm="1">
        <f t="array" aca="1" ref="B12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6" s="22" t="str" cm="1">
        <f t="array" aca="1" ref="C12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A1296, "'!C:C")),"NOK"))&gt;0, "NOK", "Pending....")),"")</f>
        <v/>
      </c>
      <c r="D1296" s="24"/>
      <c r="E1296" s="24"/>
      <c r="F1296" s="24"/>
      <c r="G1296" s="29"/>
      <c r="H1296" s="24"/>
    </row>
    <row r="1297" spans="2:8" x14ac:dyDescent="0.25">
      <c r="B1297" s="21" t="str" cm="1">
        <f t="array" aca="1" ref="B12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7" s="22" t="str" cm="1">
        <f t="array" aca="1" ref="C12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A1297, "'!C:C")),"NOK"))&gt;0, "NOK", "Pending....")),"")</f>
        <v/>
      </c>
      <c r="D1297" s="24"/>
      <c r="E1297" s="24"/>
      <c r="F1297" s="24"/>
      <c r="G1297" s="29"/>
      <c r="H1297" s="24"/>
    </row>
    <row r="1298" spans="2:8" x14ac:dyDescent="0.25">
      <c r="B1298" s="21" t="str" cm="1">
        <f t="array" aca="1" ref="B12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8" s="22" t="str" cm="1">
        <f t="array" aca="1" ref="C12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A1298, "'!C:C")),"NOK"))&gt;0, "NOK", "Pending....")),"")</f>
        <v/>
      </c>
      <c r="D1298" s="24"/>
      <c r="E1298" s="24"/>
      <c r="F1298" s="24"/>
      <c r="G1298" s="29"/>
      <c r="H1298" s="24"/>
    </row>
    <row r="1299" spans="2:8" x14ac:dyDescent="0.25">
      <c r="B1299" s="21" t="str" cm="1">
        <f t="array" aca="1" ref="B12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299" s="22" t="str" cm="1">
        <f t="array" aca="1" ref="C12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A1299, "'!C:C")),"NOK"))&gt;0, "NOK", "Pending....")),"")</f>
        <v/>
      </c>
      <c r="D1299" s="24"/>
      <c r="E1299" s="24"/>
      <c r="F1299" s="24"/>
      <c r="G1299" s="29"/>
      <c r="H1299" s="24"/>
    </row>
    <row r="1300" spans="2:8" x14ac:dyDescent="0.25">
      <c r="B1300" s="21" t="str" cm="1">
        <f t="array" aca="1" ref="B13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0" s="22" t="str" cm="1">
        <f t="array" aca="1" ref="C13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A1300, "'!C:C")),"NOK"))&gt;0, "NOK", "Pending....")),"")</f>
        <v/>
      </c>
      <c r="D1300" s="24"/>
      <c r="E1300" s="24"/>
      <c r="F1300" s="24"/>
      <c r="G1300" s="29"/>
      <c r="H1300" s="24"/>
    </row>
    <row r="1301" spans="2:8" x14ac:dyDescent="0.25">
      <c r="B1301" s="21" t="str" cm="1">
        <f t="array" aca="1" ref="B13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1" s="22" t="str" cm="1">
        <f t="array" aca="1" ref="C13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A1301, "'!C:C")),"NOK"))&gt;0, "NOK", "Pending....")),"")</f>
        <v/>
      </c>
      <c r="D1301" s="24"/>
      <c r="E1301" s="24"/>
      <c r="F1301" s="24"/>
      <c r="G1301" s="29"/>
      <c r="H1301" s="24"/>
    </row>
    <row r="1302" spans="2:8" x14ac:dyDescent="0.25">
      <c r="B1302" s="21" t="str" cm="1">
        <f t="array" aca="1" ref="B13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2" s="22" t="str" cm="1">
        <f t="array" aca="1" ref="C13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A1302, "'!C:C")),"NOK"))&gt;0, "NOK", "Pending....")),"")</f>
        <v/>
      </c>
      <c r="D1302" s="24"/>
      <c r="E1302" s="24"/>
      <c r="F1302" s="24"/>
      <c r="G1302" s="29"/>
      <c r="H1302" s="24"/>
    </row>
    <row r="1303" spans="2:8" x14ac:dyDescent="0.25">
      <c r="B1303" s="21" t="str" cm="1">
        <f t="array" aca="1" ref="B13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3" s="22" t="str" cm="1">
        <f t="array" aca="1" ref="C13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A1303, "'!C:C")),"NOK"))&gt;0, "NOK", "Pending....")),"")</f>
        <v/>
      </c>
      <c r="D1303" s="24"/>
      <c r="E1303" s="24"/>
      <c r="F1303" s="24"/>
      <c r="G1303" s="29"/>
      <c r="H1303" s="24"/>
    </row>
    <row r="1304" spans="2:8" x14ac:dyDescent="0.25">
      <c r="B1304" s="21" t="str" cm="1">
        <f t="array" aca="1" ref="B13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4" s="22" t="str" cm="1">
        <f t="array" aca="1" ref="C13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A1304, "'!C:C")),"NOK"))&gt;0, "NOK", "Pending....")),"")</f>
        <v/>
      </c>
      <c r="D1304" s="24"/>
      <c r="E1304" s="24"/>
      <c r="F1304" s="24"/>
      <c r="G1304" s="29"/>
      <c r="H1304" s="24"/>
    </row>
    <row r="1305" spans="2:8" x14ac:dyDescent="0.25">
      <c r="B1305" s="21" t="str" cm="1">
        <f t="array" aca="1" ref="B13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5" s="22" t="str" cm="1">
        <f t="array" aca="1" ref="C13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A1305, "'!C:C")),"NOK"))&gt;0, "NOK", "Pending....")),"")</f>
        <v/>
      </c>
      <c r="D1305" s="24"/>
      <c r="E1305" s="24"/>
      <c r="F1305" s="24"/>
      <c r="G1305" s="29"/>
      <c r="H1305" s="24"/>
    </row>
    <row r="1306" spans="2:8" x14ac:dyDescent="0.25">
      <c r="B1306" s="21" t="str" cm="1">
        <f t="array" aca="1" ref="B13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6" s="22" t="str" cm="1">
        <f t="array" aca="1" ref="C13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A1306, "'!C:C")),"NOK"))&gt;0, "NOK", "Pending....")),"")</f>
        <v/>
      </c>
      <c r="D1306" s="24"/>
      <c r="E1306" s="24"/>
      <c r="F1306" s="24"/>
      <c r="G1306" s="29"/>
      <c r="H1306" s="24"/>
    </row>
    <row r="1307" spans="2:8" x14ac:dyDescent="0.25">
      <c r="B1307" s="21" t="str" cm="1">
        <f t="array" aca="1" ref="B13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7" s="22" t="str" cm="1">
        <f t="array" aca="1" ref="C13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A1307, "'!C:C")),"NOK"))&gt;0, "NOK", "Pending....")),"")</f>
        <v/>
      </c>
      <c r="D1307" s="24"/>
      <c r="E1307" s="24"/>
      <c r="F1307" s="24"/>
      <c r="G1307" s="29"/>
      <c r="H1307" s="24"/>
    </row>
    <row r="1308" spans="2:8" x14ac:dyDescent="0.25">
      <c r="B1308" s="21" t="str" cm="1">
        <f t="array" aca="1" ref="B13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8" s="22" t="str" cm="1">
        <f t="array" aca="1" ref="C13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A1308, "'!C:C")),"NOK"))&gt;0, "NOK", "Pending....")),"")</f>
        <v/>
      </c>
      <c r="D1308" s="24"/>
      <c r="E1308" s="24"/>
      <c r="F1308" s="24"/>
      <c r="G1308" s="29"/>
      <c r="H1308" s="24"/>
    </row>
    <row r="1309" spans="2:8" x14ac:dyDescent="0.25">
      <c r="B1309" s="21" t="str" cm="1">
        <f t="array" aca="1" ref="B13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09" s="22" t="str" cm="1">
        <f t="array" aca="1" ref="C13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A1309, "'!C:C")),"NOK"))&gt;0, "NOK", "Pending....")),"")</f>
        <v/>
      </c>
      <c r="D1309" s="24"/>
      <c r="E1309" s="24"/>
      <c r="F1309" s="24"/>
      <c r="G1309" s="29"/>
      <c r="H1309" s="24"/>
    </row>
    <row r="1310" spans="2:8" x14ac:dyDescent="0.25">
      <c r="B1310" s="21" t="str" cm="1">
        <f t="array" aca="1" ref="B13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0" s="22" t="str" cm="1">
        <f t="array" aca="1" ref="C13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A1310, "'!C:C")),"NOK"))&gt;0, "NOK", "Pending....")),"")</f>
        <v/>
      </c>
      <c r="D1310" s="24"/>
      <c r="E1310" s="24"/>
      <c r="F1310" s="24"/>
      <c r="G1310" s="29"/>
      <c r="H1310" s="24"/>
    </row>
    <row r="1311" spans="2:8" x14ac:dyDescent="0.25">
      <c r="B1311" s="21" t="str" cm="1">
        <f t="array" aca="1" ref="B13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1" s="22" t="str" cm="1">
        <f t="array" aca="1" ref="C13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A1311, "'!C:C")),"NOK"))&gt;0, "NOK", "Pending....")),"")</f>
        <v/>
      </c>
      <c r="D1311" s="24"/>
      <c r="E1311" s="24"/>
      <c r="F1311" s="24"/>
      <c r="G1311" s="29"/>
      <c r="H1311" s="24"/>
    </row>
    <row r="1312" spans="2:8" x14ac:dyDescent="0.25">
      <c r="B1312" s="21" t="str" cm="1">
        <f t="array" aca="1" ref="B13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2" s="22" t="str" cm="1">
        <f t="array" aca="1" ref="C13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A1312, "'!C:C")),"NOK"))&gt;0, "NOK", "Pending....")),"")</f>
        <v/>
      </c>
      <c r="D1312" s="24"/>
      <c r="E1312" s="24"/>
      <c r="F1312" s="24"/>
      <c r="G1312" s="29"/>
      <c r="H1312" s="24"/>
    </row>
    <row r="1313" spans="2:8" x14ac:dyDescent="0.25">
      <c r="B1313" s="21" t="str" cm="1">
        <f t="array" aca="1" ref="B13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3" s="22" t="str" cm="1">
        <f t="array" aca="1" ref="C13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A1313, "'!C:C")),"NOK"))&gt;0, "NOK", "Pending....")),"")</f>
        <v/>
      </c>
      <c r="D1313" s="24"/>
      <c r="E1313" s="24"/>
      <c r="F1313" s="24"/>
      <c r="G1313" s="29"/>
      <c r="H1313" s="24"/>
    </row>
    <row r="1314" spans="2:8" x14ac:dyDescent="0.25">
      <c r="B1314" s="21" t="str" cm="1">
        <f t="array" aca="1" ref="B13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4" s="22" t="str" cm="1">
        <f t="array" aca="1" ref="C13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A1314, "'!C:C")),"NOK"))&gt;0, "NOK", "Pending....")),"")</f>
        <v/>
      </c>
      <c r="D1314" s="24"/>
      <c r="E1314" s="24"/>
      <c r="F1314" s="24"/>
      <c r="G1314" s="29"/>
      <c r="H1314" s="24"/>
    </row>
    <row r="1315" spans="2:8" x14ac:dyDescent="0.25">
      <c r="B1315" s="21" t="str" cm="1">
        <f t="array" aca="1" ref="B13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5" s="22" t="str" cm="1">
        <f t="array" aca="1" ref="C13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A1315, "'!C:C")),"NOK"))&gt;0, "NOK", "Pending....")),"")</f>
        <v/>
      </c>
      <c r="D1315" s="24"/>
      <c r="E1315" s="24"/>
      <c r="F1315" s="24"/>
      <c r="G1315" s="29"/>
      <c r="H1315" s="24"/>
    </row>
    <row r="1316" spans="2:8" x14ac:dyDescent="0.25">
      <c r="B1316" s="21" t="str" cm="1">
        <f t="array" aca="1" ref="B13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6" s="22" t="str" cm="1">
        <f t="array" aca="1" ref="C13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A1316, "'!C:C")),"NOK"))&gt;0, "NOK", "Pending....")),"")</f>
        <v/>
      </c>
      <c r="D1316" s="24"/>
      <c r="E1316" s="24"/>
      <c r="F1316" s="24"/>
      <c r="G1316" s="29"/>
      <c r="H1316" s="24"/>
    </row>
    <row r="1317" spans="2:8" x14ac:dyDescent="0.25">
      <c r="B1317" s="21" t="str" cm="1">
        <f t="array" aca="1" ref="B13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7" s="22" t="str" cm="1">
        <f t="array" aca="1" ref="C13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A1317, "'!C:C")),"NOK"))&gt;0, "NOK", "Pending....")),"")</f>
        <v/>
      </c>
      <c r="D1317" s="24"/>
      <c r="E1317" s="24"/>
      <c r="F1317" s="24"/>
      <c r="G1317" s="29"/>
      <c r="H1317" s="24"/>
    </row>
    <row r="1318" spans="2:8" x14ac:dyDescent="0.25">
      <c r="B1318" s="21" t="str" cm="1">
        <f t="array" aca="1" ref="B13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8" s="22" t="str" cm="1">
        <f t="array" aca="1" ref="C13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A1318, "'!C:C")),"NOK"))&gt;0, "NOK", "Pending....")),"")</f>
        <v/>
      </c>
      <c r="D1318" s="24"/>
      <c r="E1318" s="24"/>
      <c r="F1318" s="24"/>
      <c r="G1318" s="29"/>
      <c r="H1318" s="24"/>
    </row>
    <row r="1319" spans="2:8" x14ac:dyDescent="0.25">
      <c r="B1319" s="21" t="str" cm="1">
        <f t="array" aca="1" ref="B13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19" s="22" t="str" cm="1">
        <f t="array" aca="1" ref="C13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A1319, "'!C:C")),"NOK"))&gt;0, "NOK", "Pending....")),"")</f>
        <v/>
      </c>
      <c r="D1319" s="24"/>
      <c r="E1319" s="24"/>
      <c r="F1319" s="24"/>
      <c r="G1319" s="29"/>
      <c r="H1319" s="24"/>
    </row>
    <row r="1320" spans="2:8" x14ac:dyDescent="0.25">
      <c r="B1320" s="21" t="str" cm="1">
        <f t="array" aca="1" ref="B13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0" s="22" t="str" cm="1">
        <f t="array" aca="1" ref="C13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A1320, "'!C:C")),"NOK"))&gt;0, "NOK", "Pending....")),"")</f>
        <v/>
      </c>
      <c r="D1320" s="24"/>
      <c r="E1320" s="24"/>
      <c r="F1320" s="24"/>
      <c r="G1320" s="29"/>
      <c r="H1320" s="24"/>
    </row>
    <row r="1321" spans="2:8" x14ac:dyDescent="0.25">
      <c r="B1321" s="21" t="str" cm="1">
        <f t="array" aca="1" ref="B13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1" s="22" t="str" cm="1">
        <f t="array" aca="1" ref="C13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A1321, "'!C:C")),"NOK"))&gt;0, "NOK", "Pending....")),"")</f>
        <v/>
      </c>
      <c r="D1321" s="24"/>
      <c r="E1321" s="24"/>
      <c r="F1321" s="24"/>
      <c r="G1321" s="29"/>
      <c r="H1321" s="24"/>
    </row>
    <row r="1322" spans="2:8" x14ac:dyDescent="0.25">
      <c r="B1322" s="21" t="str" cm="1">
        <f t="array" aca="1" ref="B13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2" s="22" t="str" cm="1">
        <f t="array" aca="1" ref="C13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A1322, "'!C:C")),"NOK"))&gt;0, "NOK", "Pending....")),"")</f>
        <v/>
      </c>
      <c r="D1322" s="24"/>
      <c r="E1322" s="24"/>
      <c r="F1322" s="24"/>
      <c r="G1322" s="29"/>
      <c r="H1322" s="24"/>
    </row>
    <row r="1323" spans="2:8" x14ac:dyDescent="0.25">
      <c r="B1323" s="21" t="str" cm="1">
        <f t="array" aca="1" ref="B13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3" s="22" t="str" cm="1">
        <f t="array" aca="1" ref="C13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A1323, "'!C:C")),"NOK"))&gt;0, "NOK", "Pending....")),"")</f>
        <v/>
      </c>
      <c r="D1323" s="24"/>
      <c r="E1323" s="24"/>
      <c r="F1323" s="24"/>
      <c r="G1323" s="29"/>
      <c r="H1323" s="24"/>
    </row>
    <row r="1324" spans="2:8" x14ac:dyDescent="0.25">
      <c r="B1324" s="21" t="str" cm="1">
        <f t="array" aca="1" ref="B13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4" s="22" t="str" cm="1">
        <f t="array" aca="1" ref="C13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A1324, "'!C:C")),"NOK"))&gt;0, "NOK", "Pending....")),"")</f>
        <v/>
      </c>
      <c r="D1324" s="24"/>
      <c r="E1324" s="24"/>
      <c r="F1324" s="24"/>
      <c r="G1324" s="29"/>
      <c r="H1324" s="24"/>
    </row>
    <row r="1325" spans="2:8" x14ac:dyDescent="0.25">
      <c r="B1325" s="21" t="str" cm="1">
        <f t="array" aca="1" ref="B13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5" s="22" t="str" cm="1">
        <f t="array" aca="1" ref="C13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A1325, "'!C:C")),"NOK"))&gt;0, "NOK", "Pending....")),"")</f>
        <v/>
      </c>
      <c r="D1325" s="24"/>
      <c r="E1325" s="24"/>
      <c r="F1325" s="24"/>
      <c r="G1325" s="29"/>
      <c r="H1325" s="24"/>
    </row>
    <row r="1326" spans="2:8" x14ac:dyDescent="0.25">
      <c r="B1326" s="21" t="str" cm="1">
        <f t="array" aca="1" ref="B13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6" s="22" t="str" cm="1">
        <f t="array" aca="1" ref="C13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A1326, "'!C:C")),"NOK"))&gt;0, "NOK", "Pending....")),"")</f>
        <v/>
      </c>
      <c r="D1326" s="24"/>
      <c r="E1326" s="24"/>
      <c r="F1326" s="24"/>
      <c r="G1326" s="29"/>
      <c r="H1326" s="24"/>
    </row>
    <row r="1327" spans="2:8" x14ac:dyDescent="0.25">
      <c r="B1327" s="21" t="str" cm="1">
        <f t="array" aca="1" ref="B13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7" s="22" t="str" cm="1">
        <f t="array" aca="1" ref="C13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A1327, "'!C:C")),"NOK"))&gt;0, "NOK", "Pending....")),"")</f>
        <v/>
      </c>
      <c r="D1327" s="24"/>
      <c r="E1327" s="24"/>
      <c r="F1327" s="24"/>
      <c r="G1327" s="29"/>
      <c r="H1327" s="24"/>
    </row>
    <row r="1328" spans="2:8" x14ac:dyDescent="0.25">
      <c r="B1328" s="21" t="str" cm="1">
        <f t="array" aca="1" ref="B13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8" s="22" t="str" cm="1">
        <f t="array" aca="1" ref="C13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A1328, "'!C:C")),"NOK"))&gt;0, "NOK", "Pending....")),"")</f>
        <v/>
      </c>
      <c r="D1328" s="24"/>
      <c r="E1328" s="24"/>
      <c r="F1328" s="24"/>
      <c r="G1328" s="29"/>
      <c r="H1328" s="24"/>
    </row>
    <row r="1329" spans="2:8" x14ac:dyDescent="0.25">
      <c r="B1329" s="21" t="str" cm="1">
        <f t="array" aca="1" ref="B13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29" s="22" t="str" cm="1">
        <f t="array" aca="1" ref="C13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A1329, "'!C:C")),"NOK"))&gt;0, "NOK", "Pending....")),"")</f>
        <v/>
      </c>
      <c r="D1329" s="24"/>
      <c r="E1329" s="24"/>
      <c r="F1329" s="24"/>
      <c r="G1329" s="29"/>
      <c r="H1329" s="24"/>
    </row>
    <row r="1330" spans="2:8" x14ac:dyDescent="0.25">
      <c r="B1330" s="21" t="str" cm="1">
        <f t="array" aca="1" ref="B13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0" s="22" t="str" cm="1">
        <f t="array" aca="1" ref="C13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A1330, "'!C:C")),"NOK"))&gt;0, "NOK", "Pending....")),"")</f>
        <v/>
      </c>
      <c r="D1330" s="24"/>
      <c r="E1330" s="24"/>
      <c r="F1330" s="24"/>
      <c r="G1330" s="29"/>
      <c r="H1330" s="24"/>
    </row>
    <row r="1331" spans="2:8" x14ac:dyDescent="0.25">
      <c r="B1331" s="21" t="str" cm="1">
        <f t="array" aca="1" ref="B13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1" s="22" t="str" cm="1">
        <f t="array" aca="1" ref="C13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A1331, "'!C:C")),"NOK"))&gt;0, "NOK", "Pending....")),"")</f>
        <v/>
      </c>
      <c r="D1331" s="24"/>
      <c r="E1331" s="24"/>
      <c r="F1331" s="24"/>
      <c r="G1331" s="29"/>
      <c r="H1331" s="24"/>
    </row>
    <row r="1332" spans="2:8" x14ac:dyDescent="0.25">
      <c r="B1332" s="21" t="str" cm="1">
        <f t="array" aca="1" ref="B13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2" s="22" t="str" cm="1">
        <f t="array" aca="1" ref="C13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A1332, "'!C:C")),"NOK"))&gt;0, "NOK", "Pending....")),"")</f>
        <v/>
      </c>
      <c r="D1332" s="24"/>
      <c r="E1332" s="24"/>
      <c r="F1332" s="24"/>
      <c r="G1332" s="29"/>
      <c r="H1332" s="24"/>
    </row>
    <row r="1333" spans="2:8" x14ac:dyDescent="0.25">
      <c r="B1333" s="21" t="str" cm="1">
        <f t="array" aca="1" ref="B13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3" s="22" t="str" cm="1">
        <f t="array" aca="1" ref="C13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A1333, "'!C:C")),"NOK"))&gt;0, "NOK", "Pending....")),"")</f>
        <v/>
      </c>
      <c r="D1333" s="24"/>
      <c r="E1333" s="24"/>
      <c r="F1333" s="24"/>
      <c r="G1333" s="29"/>
      <c r="H1333" s="24"/>
    </row>
    <row r="1334" spans="2:8" x14ac:dyDescent="0.25">
      <c r="B1334" s="21" t="str" cm="1">
        <f t="array" aca="1" ref="B13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4" s="22" t="str" cm="1">
        <f t="array" aca="1" ref="C13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A1334, "'!C:C")),"NOK"))&gt;0, "NOK", "Pending....")),"")</f>
        <v/>
      </c>
      <c r="D1334" s="24"/>
      <c r="E1334" s="24"/>
      <c r="F1334" s="24"/>
      <c r="G1334" s="29"/>
      <c r="H1334" s="24"/>
    </row>
    <row r="1335" spans="2:8" x14ac:dyDescent="0.25">
      <c r="B1335" s="21" t="str" cm="1">
        <f t="array" aca="1" ref="B13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5" s="22" t="str" cm="1">
        <f t="array" aca="1" ref="C13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A1335, "'!C:C")),"NOK"))&gt;0, "NOK", "Pending....")),"")</f>
        <v/>
      </c>
      <c r="D1335" s="24"/>
      <c r="E1335" s="24"/>
      <c r="F1335" s="24"/>
      <c r="G1335" s="29"/>
      <c r="H1335" s="24"/>
    </row>
    <row r="1336" spans="2:8" x14ac:dyDescent="0.25">
      <c r="B1336" s="21" t="str" cm="1">
        <f t="array" aca="1" ref="B13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6" s="22" t="str" cm="1">
        <f t="array" aca="1" ref="C13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A1336, "'!C:C")),"NOK"))&gt;0, "NOK", "Pending....")),"")</f>
        <v/>
      </c>
      <c r="D1336" s="24"/>
      <c r="E1336" s="24"/>
      <c r="F1336" s="24"/>
      <c r="G1336" s="29"/>
      <c r="H1336" s="24"/>
    </row>
    <row r="1337" spans="2:8" x14ac:dyDescent="0.25">
      <c r="B1337" s="21" t="str" cm="1">
        <f t="array" aca="1" ref="B13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7" s="22" t="str" cm="1">
        <f t="array" aca="1" ref="C13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A1337, "'!C:C")),"NOK"))&gt;0, "NOK", "Pending....")),"")</f>
        <v/>
      </c>
      <c r="D1337" s="24"/>
      <c r="E1337" s="24"/>
      <c r="F1337" s="24"/>
      <c r="G1337" s="29"/>
      <c r="H1337" s="24"/>
    </row>
    <row r="1338" spans="2:8" x14ac:dyDescent="0.25">
      <c r="B1338" s="21" t="str" cm="1">
        <f t="array" aca="1" ref="B13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8" s="22" t="str" cm="1">
        <f t="array" aca="1" ref="C13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A1338, "'!C:C")),"NOK"))&gt;0, "NOK", "Pending....")),"")</f>
        <v/>
      </c>
      <c r="D1338" s="24"/>
      <c r="E1338" s="24"/>
      <c r="F1338" s="24"/>
      <c r="G1338" s="29"/>
      <c r="H1338" s="24"/>
    </row>
    <row r="1339" spans="2:8" x14ac:dyDescent="0.25">
      <c r="B1339" s="21" t="str" cm="1">
        <f t="array" aca="1" ref="B13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39" s="22" t="str" cm="1">
        <f t="array" aca="1" ref="C13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A1339, "'!C:C")),"NOK"))&gt;0, "NOK", "Pending....")),"")</f>
        <v/>
      </c>
      <c r="D1339" s="24"/>
      <c r="E1339" s="24"/>
      <c r="F1339" s="24"/>
      <c r="G1339" s="29"/>
      <c r="H1339" s="24"/>
    </row>
    <row r="1340" spans="2:8" x14ac:dyDescent="0.25">
      <c r="B1340" s="21" t="str" cm="1">
        <f t="array" aca="1" ref="B13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0" s="22" t="str" cm="1">
        <f t="array" aca="1" ref="C13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A1340, "'!C:C")),"NOK"))&gt;0, "NOK", "Pending....")),"")</f>
        <v/>
      </c>
      <c r="D1340" s="24"/>
      <c r="E1340" s="24"/>
      <c r="F1340" s="24"/>
      <c r="G1340" s="29"/>
      <c r="H1340" s="24"/>
    </row>
    <row r="1341" spans="2:8" x14ac:dyDescent="0.25">
      <c r="B1341" s="21" t="str" cm="1">
        <f t="array" aca="1" ref="B13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1" s="22" t="str" cm="1">
        <f t="array" aca="1" ref="C13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A1341, "'!C:C")),"NOK"))&gt;0, "NOK", "Pending....")),"")</f>
        <v/>
      </c>
      <c r="D1341" s="24"/>
      <c r="E1341" s="24"/>
      <c r="F1341" s="24"/>
      <c r="G1341" s="29"/>
      <c r="H1341" s="24"/>
    </row>
    <row r="1342" spans="2:8" x14ac:dyDescent="0.25">
      <c r="B1342" s="21" t="str" cm="1">
        <f t="array" aca="1" ref="B13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2" s="22" t="str" cm="1">
        <f t="array" aca="1" ref="C13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A1342, "'!C:C")),"NOK"))&gt;0, "NOK", "Pending....")),"")</f>
        <v/>
      </c>
      <c r="D1342" s="24"/>
      <c r="E1342" s="24"/>
      <c r="F1342" s="24"/>
      <c r="G1342" s="29"/>
      <c r="H1342" s="24"/>
    </row>
    <row r="1343" spans="2:8" x14ac:dyDescent="0.25">
      <c r="B1343" s="21" t="str" cm="1">
        <f t="array" aca="1" ref="B13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3" s="22" t="str" cm="1">
        <f t="array" aca="1" ref="C13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A1343, "'!C:C")),"NOK"))&gt;0, "NOK", "Pending....")),"")</f>
        <v/>
      </c>
      <c r="D1343" s="24"/>
      <c r="E1343" s="24"/>
      <c r="F1343" s="24"/>
      <c r="G1343" s="29"/>
      <c r="H1343" s="24"/>
    </row>
    <row r="1344" spans="2:8" x14ac:dyDescent="0.25">
      <c r="B1344" s="21" t="str" cm="1">
        <f t="array" aca="1" ref="B13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4" s="22" t="str" cm="1">
        <f t="array" aca="1" ref="C13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A1344, "'!C:C")),"NOK"))&gt;0, "NOK", "Pending....")),"")</f>
        <v/>
      </c>
      <c r="D1344" s="24"/>
      <c r="E1344" s="24"/>
      <c r="F1344" s="24"/>
      <c r="G1344" s="29"/>
      <c r="H1344" s="24"/>
    </row>
    <row r="1345" spans="2:8" x14ac:dyDescent="0.25">
      <c r="B1345" s="21" t="str" cm="1">
        <f t="array" aca="1" ref="B13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5" s="22" t="str" cm="1">
        <f t="array" aca="1" ref="C13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A1345, "'!C:C")),"NOK"))&gt;0, "NOK", "Pending....")),"")</f>
        <v/>
      </c>
      <c r="D1345" s="24"/>
      <c r="E1345" s="24"/>
      <c r="F1345" s="24"/>
      <c r="G1345" s="29"/>
      <c r="H1345" s="24"/>
    </row>
    <row r="1346" spans="2:8" x14ac:dyDescent="0.25">
      <c r="B1346" s="21" t="str" cm="1">
        <f t="array" aca="1" ref="B13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6" s="22" t="str" cm="1">
        <f t="array" aca="1" ref="C13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A1346, "'!C:C")),"NOK"))&gt;0, "NOK", "Pending....")),"")</f>
        <v/>
      </c>
      <c r="D1346" s="24"/>
      <c r="E1346" s="24"/>
      <c r="F1346" s="24"/>
      <c r="G1346" s="29"/>
      <c r="H1346" s="24"/>
    </row>
    <row r="1347" spans="2:8" x14ac:dyDescent="0.25">
      <c r="B1347" s="21" t="str" cm="1">
        <f t="array" aca="1" ref="B13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7" s="22" t="str" cm="1">
        <f t="array" aca="1" ref="C13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A1347, "'!C:C")),"NOK"))&gt;0, "NOK", "Pending....")),"")</f>
        <v/>
      </c>
      <c r="D1347" s="24"/>
      <c r="E1347" s="24"/>
      <c r="F1347" s="24"/>
      <c r="G1347" s="29"/>
      <c r="H1347" s="24"/>
    </row>
    <row r="1348" spans="2:8" x14ac:dyDescent="0.25">
      <c r="B1348" s="21" t="str" cm="1">
        <f t="array" aca="1" ref="B13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8" s="22" t="str" cm="1">
        <f t="array" aca="1" ref="C13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A1348, "'!C:C")),"NOK"))&gt;0, "NOK", "Pending....")),"")</f>
        <v/>
      </c>
      <c r="D1348" s="24"/>
      <c r="E1348" s="24"/>
      <c r="F1348" s="24"/>
      <c r="G1348" s="29"/>
      <c r="H1348" s="24"/>
    </row>
    <row r="1349" spans="2:8" x14ac:dyDescent="0.25">
      <c r="B1349" s="21" t="str" cm="1">
        <f t="array" aca="1" ref="B13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49" s="22" t="str" cm="1">
        <f t="array" aca="1" ref="C13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A1349, "'!C:C")),"NOK"))&gt;0, "NOK", "Pending....")),"")</f>
        <v/>
      </c>
      <c r="D1349" s="24"/>
      <c r="E1349" s="24"/>
      <c r="F1349" s="24"/>
      <c r="G1349" s="29"/>
      <c r="H1349" s="24"/>
    </row>
    <row r="1350" spans="2:8" x14ac:dyDescent="0.25">
      <c r="B1350" s="21" t="str" cm="1">
        <f t="array" aca="1" ref="B13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0" s="22" t="str" cm="1">
        <f t="array" aca="1" ref="C13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A1350, "'!C:C")),"NOK"))&gt;0, "NOK", "Pending....")),"")</f>
        <v/>
      </c>
      <c r="D1350" s="24"/>
      <c r="E1350" s="24"/>
      <c r="F1350" s="24"/>
      <c r="G1350" s="29"/>
      <c r="H1350" s="24"/>
    </row>
    <row r="1351" spans="2:8" x14ac:dyDescent="0.25">
      <c r="B1351" s="21" t="str" cm="1">
        <f t="array" aca="1" ref="B13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1" s="22" t="str" cm="1">
        <f t="array" aca="1" ref="C13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A1351, "'!C:C")),"NOK"))&gt;0, "NOK", "Pending....")),"")</f>
        <v/>
      </c>
      <c r="D1351" s="24"/>
      <c r="E1351" s="24"/>
      <c r="F1351" s="24"/>
      <c r="G1351" s="29"/>
      <c r="H1351" s="24"/>
    </row>
    <row r="1352" spans="2:8" x14ac:dyDescent="0.25">
      <c r="B1352" s="21" t="str" cm="1">
        <f t="array" aca="1" ref="B13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2" s="22" t="str" cm="1">
        <f t="array" aca="1" ref="C13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A1352, "'!C:C")),"NOK"))&gt;0, "NOK", "Pending....")),"")</f>
        <v/>
      </c>
      <c r="D1352" s="24"/>
      <c r="E1352" s="24"/>
      <c r="F1352" s="24"/>
      <c r="G1352" s="29"/>
      <c r="H1352" s="24"/>
    </row>
    <row r="1353" spans="2:8" x14ac:dyDescent="0.25">
      <c r="B1353" s="21" t="str" cm="1">
        <f t="array" aca="1" ref="B13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3" s="22" t="str" cm="1">
        <f t="array" aca="1" ref="C13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A1353, "'!C:C")),"NOK"))&gt;0, "NOK", "Pending....")),"")</f>
        <v/>
      </c>
      <c r="D1353" s="24"/>
      <c r="E1353" s="24"/>
      <c r="F1353" s="24"/>
      <c r="G1353" s="29"/>
      <c r="H1353" s="24"/>
    </row>
    <row r="1354" spans="2:8" x14ac:dyDescent="0.25">
      <c r="B1354" s="21" t="str" cm="1">
        <f t="array" aca="1" ref="B13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4" s="22" t="str" cm="1">
        <f t="array" aca="1" ref="C13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A1354, "'!C:C")),"NOK"))&gt;0, "NOK", "Pending....")),"")</f>
        <v/>
      </c>
      <c r="D1354" s="24"/>
      <c r="E1354" s="24"/>
      <c r="F1354" s="24"/>
      <c r="G1354" s="29"/>
      <c r="H1354" s="24"/>
    </row>
    <row r="1355" spans="2:8" x14ac:dyDescent="0.25">
      <c r="B1355" s="21" t="str" cm="1">
        <f t="array" aca="1" ref="B13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5" s="22" t="str" cm="1">
        <f t="array" aca="1" ref="C13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A1355, "'!C:C")),"NOK"))&gt;0, "NOK", "Pending....")),"")</f>
        <v/>
      </c>
      <c r="D1355" s="24"/>
      <c r="E1355" s="24"/>
      <c r="F1355" s="24"/>
      <c r="G1355" s="29"/>
      <c r="H1355" s="24"/>
    </row>
    <row r="1356" spans="2:8" x14ac:dyDescent="0.25">
      <c r="B1356" s="21" t="str" cm="1">
        <f t="array" aca="1" ref="B13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6" s="22" t="str" cm="1">
        <f t="array" aca="1" ref="C13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A1356, "'!C:C")),"NOK"))&gt;0, "NOK", "Pending....")),"")</f>
        <v/>
      </c>
      <c r="D1356" s="24"/>
      <c r="E1356" s="24"/>
      <c r="F1356" s="24"/>
      <c r="G1356" s="29"/>
      <c r="H1356" s="24"/>
    </row>
    <row r="1357" spans="2:8" x14ac:dyDescent="0.25">
      <c r="B1357" s="21" t="str" cm="1">
        <f t="array" aca="1" ref="B13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7" s="22" t="str" cm="1">
        <f t="array" aca="1" ref="C13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A1357, "'!C:C")),"NOK"))&gt;0, "NOK", "Pending....")),"")</f>
        <v/>
      </c>
      <c r="D1357" s="24"/>
      <c r="E1357" s="24"/>
      <c r="F1357" s="24"/>
      <c r="G1357" s="29"/>
      <c r="H1357" s="24"/>
    </row>
    <row r="1358" spans="2:8" x14ac:dyDescent="0.25">
      <c r="B1358" s="21" t="str" cm="1">
        <f t="array" aca="1" ref="B13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8" s="22" t="str" cm="1">
        <f t="array" aca="1" ref="C13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A1358, "'!C:C")),"NOK"))&gt;0, "NOK", "Pending....")),"")</f>
        <v/>
      </c>
      <c r="D1358" s="24"/>
      <c r="E1358" s="24"/>
      <c r="F1358" s="24"/>
      <c r="G1358" s="29"/>
      <c r="H1358" s="24"/>
    </row>
    <row r="1359" spans="2:8" x14ac:dyDescent="0.25">
      <c r="B1359" s="21" t="str" cm="1">
        <f t="array" aca="1" ref="B13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59" s="22" t="str" cm="1">
        <f t="array" aca="1" ref="C13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A1359, "'!C:C")),"NOK"))&gt;0, "NOK", "Pending....")),"")</f>
        <v/>
      </c>
      <c r="D1359" s="24"/>
      <c r="E1359" s="24"/>
      <c r="F1359" s="24"/>
      <c r="G1359" s="29"/>
      <c r="H1359" s="24"/>
    </row>
    <row r="1360" spans="2:8" x14ac:dyDescent="0.25">
      <c r="B1360" s="21" t="str" cm="1">
        <f t="array" aca="1" ref="B13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0" s="22" t="str" cm="1">
        <f t="array" aca="1" ref="C13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A1360, "'!C:C")),"NOK"))&gt;0, "NOK", "Pending....")),"")</f>
        <v/>
      </c>
      <c r="D1360" s="24"/>
      <c r="E1360" s="24"/>
      <c r="F1360" s="24"/>
      <c r="G1360" s="29"/>
      <c r="H1360" s="24"/>
    </row>
    <row r="1361" spans="2:8" x14ac:dyDescent="0.25">
      <c r="B1361" s="21" t="str" cm="1">
        <f t="array" aca="1" ref="B13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1" s="22" t="str" cm="1">
        <f t="array" aca="1" ref="C13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A1361, "'!C:C")),"NOK"))&gt;0, "NOK", "Pending....")),"")</f>
        <v/>
      </c>
      <c r="D1361" s="24"/>
      <c r="E1361" s="24"/>
      <c r="F1361" s="24"/>
      <c r="G1361" s="29"/>
      <c r="H1361" s="24"/>
    </row>
    <row r="1362" spans="2:8" x14ac:dyDescent="0.25">
      <c r="B1362" s="21" t="str" cm="1">
        <f t="array" aca="1" ref="B13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2" s="22" t="str" cm="1">
        <f t="array" aca="1" ref="C13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A1362, "'!C:C")),"NOK"))&gt;0, "NOK", "Pending....")),"")</f>
        <v/>
      </c>
      <c r="D1362" s="24"/>
      <c r="E1362" s="24"/>
      <c r="F1362" s="24"/>
      <c r="G1362" s="29"/>
      <c r="H1362" s="24"/>
    </row>
    <row r="1363" spans="2:8" x14ac:dyDescent="0.25">
      <c r="B1363" s="21" t="str" cm="1">
        <f t="array" aca="1" ref="B13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3" s="22" t="str" cm="1">
        <f t="array" aca="1" ref="C13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A1363, "'!C:C")),"NOK"))&gt;0, "NOK", "Pending....")),"")</f>
        <v/>
      </c>
      <c r="D1363" s="24"/>
      <c r="E1363" s="24"/>
      <c r="F1363" s="24"/>
      <c r="G1363" s="29"/>
      <c r="H1363" s="24"/>
    </row>
    <row r="1364" spans="2:8" x14ac:dyDescent="0.25">
      <c r="B1364" s="21" t="str" cm="1">
        <f t="array" aca="1" ref="B13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4" s="22" t="str" cm="1">
        <f t="array" aca="1" ref="C13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A1364, "'!C:C")),"NOK"))&gt;0, "NOK", "Pending....")),"")</f>
        <v/>
      </c>
      <c r="D1364" s="24"/>
      <c r="E1364" s="24"/>
      <c r="F1364" s="24"/>
      <c r="G1364" s="29"/>
      <c r="H1364" s="24"/>
    </row>
    <row r="1365" spans="2:8" x14ac:dyDescent="0.25">
      <c r="B1365" s="21" t="str" cm="1">
        <f t="array" aca="1" ref="B13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5" s="22" t="str" cm="1">
        <f t="array" aca="1" ref="C13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A1365, "'!C:C")),"NOK"))&gt;0, "NOK", "Pending....")),"")</f>
        <v/>
      </c>
      <c r="D1365" s="24"/>
      <c r="E1365" s="24"/>
      <c r="F1365" s="24"/>
      <c r="G1365" s="29"/>
      <c r="H1365" s="24"/>
    </row>
    <row r="1366" spans="2:8" x14ac:dyDescent="0.25">
      <c r="B1366" s="21" t="str" cm="1">
        <f t="array" aca="1" ref="B13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6" s="22" t="str" cm="1">
        <f t="array" aca="1" ref="C13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A1366, "'!C:C")),"NOK"))&gt;0, "NOK", "Pending....")),"")</f>
        <v/>
      </c>
      <c r="D1366" s="24"/>
      <c r="E1366" s="24"/>
      <c r="F1366" s="24"/>
      <c r="G1366" s="29"/>
      <c r="H1366" s="24"/>
    </row>
    <row r="1367" spans="2:8" x14ac:dyDescent="0.25">
      <c r="B1367" s="21" t="str" cm="1">
        <f t="array" aca="1" ref="B13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7" s="22" t="str" cm="1">
        <f t="array" aca="1" ref="C13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A1367, "'!C:C")),"NOK"))&gt;0, "NOK", "Pending....")),"")</f>
        <v/>
      </c>
      <c r="D1367" s="24"/>
      <c r="E1367" s="24"/>
      <c r="F1367" s="24"/>
      <c r="G1367" s="29"/>
      <c r="H1367" s="24"/>
    </row>
    <row r="1368" spans="2:8" x14ac:dyDescent="0.25">
      <c r="B1368" s="21" t="str" cm="1">
        <f t="array" aca="1" ref="B13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8" s="22" t="str" cm="1">
        <f t="array" aca="1" ref="C13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A1368, "'!C:C")),"NOK"))&gt;0, "NOK", "Pending....")),"")</f>
        <v/>
      </c>
      <c r="D1368" s="24"/>
      <c r="E1368" s="24"/>
      <c r="F1368" s="24"/>
      <c r="G1368" s="29"/>
      <c r="H1368" s="24"/>
    </row>
    <row r="1369" spans="2:8" x14ac:dyDescent="0.25">
      <c r="B1369" s="21" t="str" cm="1">
        <f t="array" aca="1" ref="B13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69" s="22" t="str" cm="1">
        <f t="array" aca="1" ref="C13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A1369, "'!C:C")),"NOK"))&gt;0, "NOK", "Pending....")),"")</f>
        <v/>
      </c>
      <c r="D1369" s="24"/>
      <c r="E1369" s="24"/>
      <c r="F1369" s="24"/>
      <c r="G1369" s="29"/>
      <c r="H1369" s="24"/>
    </row>
    <row r="1370" spans="2:8" x14ac:dyDescent="0.25">
      <c r="B1370" s="21" t="str" cm="1">
        <f t="array" aca="1" ref="B13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0" s="22" t="str" cm="1">
        <f t="array" aca="1" ref="C13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A1370, "'!C:C")),"NOK"))&gt;0, "NOK", "Pending....")),"")</f>
        <v/>
      </c>
      <c r="D1370" s="24"/>
      <c r="E1370" s="24"/>
      <c r="F1370" s="24"/>
      <c r="G1370" s="29"/>
      <c r="H1370" s="24"/>
    </row>
    <row r="1371" spans="2:8" x14ac:dyDescent="0.25">
      <c r="B1371" s="21" t="str" cm="1">
        <f t="array" aca="1" ref="B13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1" s="22" t="str" cm="1">
        <f t="array" aca="1" ref="C13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A1371, "'!C:C")),"NOK"))&gt;0, "NOK", "Pending....")),"")</f>
        <v/>
      </c>
      <c r="D1371" s="24"/>
      <c r="E1371" s="24"/>
      <c r="F1371" s="24"/>
      <c r="G1371" s="29"/>
      <c r="H1371" s="24"/>
    </row>
    <row r="1372" spans="2:8" x14ac:dyDescent="0.25">
      <c r="B1372" s="21" t="str" cm="1">
        <f t="array" aca="1" ref="B13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2" s="22" t="str" cm="1">
        <f t="array" aca="1" ref="C13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A1372, "'!C:C")),"NOK"))&gt;0, "NOK", "Pending....")),"")</f>
        <v/>
      </c>
      <c r="D1372" s="24"/>
      <c r="E1372" s="24"/>
      <c r="F1372" s="24"/>
      <c r="G1372" s="29"/>
      <c r="H1372" s="24"/>
    </row>
    <row r="1373" spans="2:8" x14ac:dyDescent="0.25">
      <c r="B1373" s="21" t="str" cm="1">
        <f t="array" aca="1" ref="B13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3" s="22" t="str" cm="1">
        <f t="array" aca="1" ref="C13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A1373, "'!C:C")),"NOK"))&gt;0, "NOK", "Pending....")),"")</f>
        <v/>
      </c>
      <c r="D1373" s="24"/>
      <c r="E1373" s="24"/>
      <c r="F1373" s="24"/>
      <c r="G1373" s="29"/>
      <c r="H1373" s="24"/>
    </row>
    <row r="1374" spans="2:8" x14ac:dyDescent="0.25">
      <c r="B1374" s="21" t="str" cm="1">
        <f t="array" aca="1" ref="B13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4" s="22" t="str" cm="1">
        <f t="array" aca="1" ref="C13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A1374, "'!C:C")),"NOK"))&gt;0, "NOK", "Pending....")),"")</f>
        <v/>
      </c>
      <c r="D1374" s="24"/>
      <c r="E1374" s="24"/>
      <c r="F1374" s="24"/>
      <c r="G1374" s="29"/>
      <c r="H1374" s="24"/>
    </row>
    <row r="1375" spans="2:8" x14ac:dyDescent="0.25">
      <c r="B1375" s="21" t="str" cm="1">
        <f t="array" aca="1" ref="B13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5" s="22" t="str" cm="1">
        <f t="array" aca="1" ref="C13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A1375, "'!C:C")),"NOK"))&gt;0, "NOK", "Pending....")),"")</f>
        <v/>
      </c>
      <c r="D1375" s="24"/>
      <c r="E1375" s="24"/>
      <c r="F1375" s="24"/>
      <c r="G1375" s="29"/>
      <c r="H1375" s="24"/>
    </row>
    <row r="1376" spans="2:8" x14ac:dyDescent="0.25">
      <c r="B1376" s="21" t="str" cm="1">
        <f t="array" aca="1" ref="B13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6" s="22" t="str" cm="1">
        <f t="array" aca="1" ref="C13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A1376, "'!C:C")),"NOK"))&gt;0, "NOK", "Pending....")),"")</f>
        <v/>
      </c>
      <c r="D1376" s="24"/>
      <c r="E1376" s="24"/>
      <c r="F1376" s="24"/>
      <c r="G1376" s="29"/>
      <c r="H1376" s="24"/>
    </row>
    <row r="1377" spans="2:8" x14ac:dyDescent="0.25">
      <c r="B1377" s="21" t="str" cm="1">
        <f t="array" aca="1" ref="B13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7" s="22" t="str" cm="1">
        <f t="array" aca="1" ref="C13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A1377, "'!C:C")),"NOK"))&gt;0, "NOK", "Pending....")),"")</f>
        <v/>
      </c>
      <c r="D1377" s="24"/>
      <c r="E1377" s="24"/>
      <c r="F1377" s="24"/>
      <c r="G1377" s="29"/>
      <c r="H1377" s="24"/>
    </row>
    <row r="1378" spans="2:8" x14ac:dyDescent="0.25">
      <c r="B1378" s="21" t="str" cm="1">
        <f t="array" aca="1" ref="B13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8" s="22" t="str" cm="1">
        <f t="array" aca="1" ref="C13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A1378, "'!C:C")),"NOK"))&gt;0, "NOK", "Pending....")),"")</f>
        <v/>
      </c>
      <c r="D1378" s="24"/>
      <c r="E1378" s="24"/>
      <c r="F1378" s="24"/>
      <c r="G1378" s="29"/>
      <c r="H1378" s="24"/>
    </row>
    <row r="1379" spans="2:8" x14ac:dyDescent="0.25">
      <c r="B1379" s="21" t="str" cm="1">
        <f t="array" aca="1" ref="B13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79" s="22" t="str" cm="1">
        <f t="array" aca="1" ref="C13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A1379, "'!C:C")),"NOK"))&gt;0, "NOK", "Pending....")),"")</f>
        <v/>
      </c>
      <c r="D1379" s="24"/>
      <c r="E1379" s="24"/>
      <c r="F1379" s="24"/>
      <c r="G1379" s="29"/>
      <c r="H1379" s="24"/>
    </row>
    <row r="1380" spans="2:8" x14ac:dyDescent="0.25">
      <c r="B1380" s="21" t="str" cm="1">
        <f t="array" aca="1" ref="B13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0" s="22" t="str" cm="1">
        <f t="array" aca="1" ref="C13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A1380, "'!C:C")),"NOK"))&gt;0, "NOK", "Pending....")),"")</f>
        <v/>
      </c>
      <c r="D1380" s="24"/>
      <c r="E1380" s="24"/>
      <c r="F1380" s="24"/>
      <c r="G1380" s="29"/>
      <c r="H1380" s="24"/>
    </row>
    <row r="1381" spans="2:8" x14ac:dyDescent="0.25">
      <c r="B1381" s="21" t="str" cm="1">
        <f t="array" aca="1" ref="B13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1" s="22" t="str" cm="1">
        <f t="array" aca="1" ref="C13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A1381, "'!C:C")),"NOK"))&gt;0, "NOK", "Pending....")),"")</f>
        <v/>
      </c>
      <c r="D1381" s="24"/>
      <c r="E1381" s="24"/>
      <c r="F1381" s="24"/>
      <c r="G1381" s="29"/>
      <c r="H1381" s="24"/>
    </row>
    <row r="1382" spans="2:8" x14ac:dyDescent="0.25">
      <c r="B1382" s="21" t="str" cm="1">
        <f t="array" aca="1" ref="B13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2" s="22" t="str" cm="1">
        <f t="array" aca="1" ref="C13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A1382, "'!C:C")),"NOK"))&gt;0, "NOK", "Pending....")),"")</f>
        <v/>
      </c>
      <c r="D1382" s="24"/>
      <c r="E1382" s="24"/>
      <c r="F1382" s="24"/>
      <c r="G1382" s="29"/>
      <c r="H1382" s="24"/>
    </row>
    <row r="1383" spans="2:8" x14ac:dyDescent="0.25">
      <c r="B1383" s="21" t="str" cm="1">
        <f t="array" aca="1" ref="B13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3" s="22" t="str" cm="1">
        <f t="array" aca="1" ref="C13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A1383, "'!C:C")),"NOK"))&gt;0, "NOK", "Pending....")),"")</f>
        <v/>
      </c>
      <c r="D1383" s="24"/>
      <c r="E1383" s="24"/>
      <c r="F1383" s="24"/>
      <c r="G1383" s="29"/>
      <c r="H1383" s="24"/>
    </row>
    <row r="1384" spans="2:8" x14ac:dyDescent="0.25">
      <c r="B1384" s="21" t="str" cm="1">
        <f t="array" aca="1" ref="B13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4" s="22" t="str" cm="1">
        <f t="array" aca="1" ref="C13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A1384, "'!C:C")),"NOK"))&gt;0, "NOK", "Pending....")),"")</f>
        <v/>
      </c>
      <c r="D1384" s="24"/>
      <c r="E1384" s="24"/>
      <c r="F1384" s="24"/>
      <c r="G1384" s="29"/>
      <c r="H1384" s="24"/>
    </row>
    <row r="1385" spans="2:8" x14ac:dyDescent="0.25">
      <c r="B1385" s="21" t="str" cm="1">
        <f t="array" aca="1" ref="B13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5" s="22" t="str" cm="1">
        <f t="array" aca="1" ref="C13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A1385, "'!C:C")),"NOK"))&gt;0, "NOK", "Pending....")),"")</f>
        <v/>
      </c>
      <c r="D1385" s="24"/>
      <c r="E1385" s="24"/>
      <c r="F1385" s="24"/>
      <c r="G1385" s="29"/>
      <c r="H1385" s="24"/>
    </row>
    <row r="1386" spans="2:8" x14ac:dyDescent="0.25">
      <c r="B1386" s="21" t="str" cm="1">
        <f t="array" aca="1" ref="B13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6" s="22" t="str" cm="1">
        <f t="array" aca="1" ref="C13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A1386, "'!C:C")),"NOK"))&gt;0, "NOK", "Pending....")),"")</f>
        <v/>
      </c>
      <c r="D1386" s="24"/>
      <c r="E1386" s="24"/>
      <c r="F1386" s="24"/>
      <c r="G1386" s="29"/>
      <c r="H1386" s="24"/>
    </row>
    <row r="1387" spans="2:8" x14ac:dyDescent="0.25">
      <c r="B1387" s="21" t="str" cm="1">
        <f t="array" aca="1" ref="B13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7" s="22" t="str" cm="1">
        <f t="array" aca="1" ref="C13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A1387, "'!C:C")),"NOK"))&gt;0, "NOK", "Pending....")),"")</f>
        <v/>
      </c>
      <c r="D1387" s="24"/>
      <c r="E1387" s="24"/>
      <c r="F1387" s="24"/>
      <c r="G1387" s="29"/>
      <c r="H1387" s="24"/>
    </row>
    <row r="1388" spans="2:8" x14ac:dyDescent="0.25">
      <c r="B1388" s="21" t="str" cm="1">
        <f t="array" aca="1" ref="B13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8" s="22" t="str" cm="1">
        <f t="array" aca="1" ref="C13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A1388, "'!C:C")),"NOK"))&gt;0, "NOK", "Pending....")),"")</f>
        <v/>
      </c>
      <c r="D1388" s="24"/>
      <c r="E1388" s="24"/>
      <c r="F1388" s="24"/>
      <c r="G1388" s="29"/>
      <c r="H1388" s="24"/>
    </row>
    <row r="1389" spans="2:8" x14ac:dyDescent="0.25">
      <c r="B1389" s="21" t="str" cm="1">
        <f t="array" aca="1" ref="B13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89" s="22" t="str" cm="1">
        <f t="array" aca="1" ref="C13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A1389, "'!C:C")),"NOK"))&gt;0, "NOK", "Pending....")),"")</f>
        <v/>
      </c>
      <c r="D1389" s="24"/>
      <c r="E1389" s="24"/>
      <c r="F1389" s="24"/>
      <c r="G1389" s="29"/>
      <c r="H1389" s="24"/>
    </row>
    <row r="1390" spans="2:8" x14ac:dyDescent="0.25">
      <c r="B1390" s="21" t="str" cm="1">
        <f t="array" aca="1" ref="B13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0" s="22" t="str" cm="1">
        <f t="array" aca="1" ref="C13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A1390, "'!C:C")),"NOK"))&gt;0, "NOK", "Pending....")),"")</f>
        <v/>
      </c>
      <c r="D1390" s="24"/>
      <c r="E1390" s="24"/>
      <c r="F1390" s="24"/>
      <c r="G1390" s="29"/>
      <c r="H1390" s="24"/>
    </row>
    <row r="1391" spans="2:8" x14ac:dyDescent="0.25">
      <c r="B1391" s="21" t="str" cm="1">
        <f t="array" aca="1" ref="B13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1" s="22" t="str" cm="1">
        <f t="array" aca="1" ref="C13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A1391, "'!C:C")),"NOK"))&gt;0, "NOK", "Pending....")),"")</f>
        <v/>
      </c>
      <c r="D1391" s="24"/>
      <c r="E1391" s="24"/>
      <c r="F1391" s="24"/>
      <c r="G1391" s="29"/>
      <c r="H1391" s="24"/>
    </row>
    <row r="1392" spans="2:8" x14ac:dyDescent="0.25">
      <c r="B1392" s="21" t="str" cm="1">
        <f t="array" aca="1" ref="B13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2" s="22" t="str" cm="1">
        <f t="array" aca="1" ref="C13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A1392, "'!C:C")),"NOK"))&gt;0, "NOK", "Pending....")),"")</f>
        <v/>
      </c>
      <c r="D1392" s="24"/>
      <c r="E1392" s="24"/>
      <c r="F1392" s="24"/>
      <c r="G1392" s="29"/>
      <c r="H1392" s="24"/>
    </row>
    <row r="1393" spans="2:8" x14ac:dyDescent="0.25">
      <c r="B1393" s="21" t="str" cm="1">
        <f t="array" aca="1" ref="B13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3" s="22" t="str" cm="1">
        <f t="array" aca="1" ref="C13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A1393, "'!C:C")),"NOK"))&gt;0, "NOK", "Pending....")),"")</f>
        <v/>
      </c>
      <c r="D1393" s="24"/>
      <c r="E1393" s="24"/>
      <c r="F1393" s="24"/>
      <c r="G1393" s="29"/>
      <c r="H1393" s="24"/>
    </row>
    <row r="1394" spans="2:8" x14ac:dyDescent="0.25">
      <c r="B1394" s="21" t="str" cm="1">
        <f t="array" aca="1" ref="B13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4" s="22" t="str" cm="1">
        <f t="array" aca="1" ref="C13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A1394, "'!C:C")),"NOK"))&gt;0, "NOK", "Pending....")),"")</f>
        <v/>
      </c>
      <c r="D1394" s="24"/>
      <c r="E1394" s="24"/>
      <c r="F1394" s="24"/>
      <c r="G1394" s="29"/>
      <c r="H1394" s="24"/>
    </row>
    <row r="1395" spans="2:8" x14ac:dyDescent="0.25">
      <c r="B1395" s="21" t="str" cm="1">
        <f t="array" aca="1" ref="B13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5" s="22" t="str" cm="1">
        <f t="array" aca="1" ref="C13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A1395, "'!C:C")),"NOK"))&gt;0, "NOK", "Pending....")),"")</f>
        <v/>
      </c>
      <c r="D1395" s="24"/>
      <c r="E1395" s="24"/>
      <c r="F1395" s="24"/>
      <c r="G1395" s="29"/>
      <c r="H1395" s="24"/>
    </row>
    <row r="1396" spans="2:8" x14ac:dyDescent="0.25">
      <c r="B1396" s="21" t="str" cm="1">
        <f t="array" aca="1" ref="B13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6" s="22" t="str" cm="1">
        <f t="array" aca="1" ref="C13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A1396, "'!C:C")),"NOK"))&gt;0, "NOK", "Pending....")),"")</f>
        <v/>
      </c>
      <c r="D1396" s="24"/>
      <c r="E1396" s="24"/>
      <c r="F1396" s="24"/>
      <c r="G1396" s="29"/>
      <c r="H1396" s="24"/>
    </row>
    <row r="1397" spans="2:8" x14ac:dyDescent="0.25">
      <c r="B1397" s="21" t="str" cm="1">
        <f t="array" aca="1" ref="B13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7" s="22" t="str" cm="1">
        <f t="array" aca="1" ref="C13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A1397, "'!C:C")),"NOK"))&gt;0, "NOK", "Pending....")),"")</f>
        <v/>
      </c>
      <c r="D1397" s="24"/>
      <c r="E1397" s="24"/>
      <c r="F1397" s="24"/>
      <c r="G1397" s="29"/>
      <c r="H1397" s="24"/>
    </row>
    <row r="1398" spans="2:8" x14ac:dyDescent="0.25">
      <c r="B1398" s="21" t="str" cm="1">
        <f t="array" aca="1" ref="B13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8" s="22" t="str" cm="1">
        <f t="array" aca="1" ref="C13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A1398, "'!C:C")),"NOK"))&gt;0, "NOK", "Pending....")),"")</f>
        <v/>
      </c>
      <c r="D1398" s="24"/>
      <c r="E1398" s="24"/>
      <c r="F1398" s="24"/>
      <c r="G1398" s="29"/>
      <c r="H1398" s="24"/>
    </row>
    <row r="1399" spans="2:8" x14ac:dyDescent="0.25">
      <c r="B1399" s="21" t="str" cm="1">
        <f t="array" aca="1" ref="B13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399" s="22" t="str" cm="1">
        <f t="array" aca="1" ref="C13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A1399, "'!C:C")),"NOK"))&gt;0, "NOK", "Pending....")),"")</f>
        <v/>
      </c>
      <c r="D1399" s="24"/>
      <c r="E1399" s="24"/>
      <c r="F1399" s="24"/>
      <c r="G1399" s="29"/>
      <c r="H1399" s="24"/>
    </row>
    <row r="1400" spans="2:8" x14ac:dyDescent="0.25">
      <c r="B1400" s="21" t="str" cm="1">
        <f t="array" aca="1" ref="B14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0" s="22" t="str" cm="1">
        <f t="array" aca="1" ref="C14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A1400, "'!C:C")),"NOK"))&gt;0, "NOK", "Pending....")),"")</f>
        <v/>
      </c>
      <c r="D1400" s="24"/>
      <c r="E1400" s="24"/>
      <c r="F1400" s="24"/>
      <c r="G1400" s="29"/>
      <c r="H1400" s="24"/>
    </row>
    <row r="1401" spans="2:8" x14ac:dyDescent="0.25">
      <c r="B1401" s="21" t="str" cm="1">
        <f t="array" aca="1" ref="B14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1" s="22" t="str" cm="1">
        <f t="array" aca="1" ref="C14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A1401, "'!C:C")),"NOK"))&gt;0, "NOK", "Pending....")),"")</f>
        <v/>
      </c>
      <c r="D1401" s="24"/>
      <c r="E1401" s="24"/>
      <c r="F1401" s="24"/>
      <c r="G1401" s="29"/>
      <c r="H1401" s="24"/>
    </row>
    <row r="1402" spans="2:8" x14ac:dyDescent="0.25">
      <c r="B1402" s="21" t="str" cm="1">
        <f t="array" aca="1" ref="B14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2" s="22" t="str" cm="1">
        <f t="array" aca="1" ref="C14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A1402, "'!C:C")),"NOK"))&gt;0, "NOK", "Pending....")),"")</f>
        <v/>
      </c>
      <c r="D1402" s="24"/>
      <c r="E1402" s="24"/>
      <c r="F1402" s="24"/>
      <c r="G1402" s="29"/>
      <c r="H1402" s="24"/>
    </row>
    <row r="1403" spans="2:8" x14ac:dyDescent="0.25">
      <c r="B1403" s="21" t="str" cm="1">
        <f t="array" aca="1" ref="B14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3" s="22" t="str" cm="1">
        <f t="array" aca="1" ref="C14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A1403, "'!C:C")),"NOK"))&gt;0, "NOK", "Pending....")),"")</f>
        <v/>
      </c>
      <c r="D1403" s="24"/>
      <c r="E1403" s="24"/>
      <c r="F1403" s="24"/>
      <c r="G1403" s="29"/>
      <c r="H1403" s="24"/>
    </row>
    <row r="1404" spans="2:8" x14ac:dyDescent="0.25">
      <c r="B1404" s="21" t="str" cm="1">
        <f t="array" aca="1" ref="B14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4" s="22" t="str" cm="1">
        <f t="array" aca="1" ref="C14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A1404, "'!C:C")),"NOK"))&gt;0, "NOK", "Pending....")),"")</f>
        <v/>
      </c>
      <c r="D1404" s="24"/>
      <c r="E1404" s="24"/>
      <c r="F1404" s="24"/>
      <c r="G1404" s="29"/>
      <c r="H1404" s="24"/>
    </row>
    <row r="1405" spans="2:8" x14ac:dyDescent="0.25">
      <c r="B1405" s="21" t="str" cm="1">
        <f t="array" aca="1" ref="B14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5" s="22" t="str" cm="1">
        <f t="array" aca="1" ref="C14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A1405, "'!C:C")),"NOK"))&gt;0, "NOK", "Pending....")),"")</f>
        <v/>
      </c>
      <c r="D1405" s="24"/>
      <c r="E1405" s="24"/>
      <c r="F1405" s="24"/>
      <c r="G1405" s="29"/>
      <c r="H1405" s="24"/>
    </row>
    <row r="1406" spans="2:8" x14ac:dyDescent="0.25">
      <c r="B1406" s="21" t="str" cm="1">
        <f t="array" aca="1" ref="B14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6" s="22" t="str" cm="1">
        <f t="array" aca="1" ref="C14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A1406, "'!C:C")),"NOK"))&gt;0, "NOK", "Pending....")),"")</f>
        <v/>
      </c>
      <c r="D1406" s="24"/>
      <c r="E1406" s="24"/>
      <c r="F1406" s="24"/>
      <c r="G1406" s="29"/>
      <c r="H1406" s="24"/>
    </row>
    <row r="1407" spans="2:8" x14ac:dyDescent="0.25">
      <c r="B1407" s="21" t="str" cm="1">
        <f t="array" aca="1" ref="B14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7" s="22" t="str" cm="1">
        <f t="array" aca="1" ref="C14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A1407, "'!C:C")),"NOK"))&gt;0, "NOK", "Pending....")),"")</f>
        <v/>
      </c>
      <c r="D1407" s="24"/>
      <c r="E1407" s="24"/>
      <c r="F1407" s="24"/>
      <c r="G1407" s="29"/>
      <c r="H1407" s="24"/>
    </row>
    <row r="1408" spans="2:8" x14ac:dyDescent="0.25">
      <c r="B1408" s="21" t="str" cm="1">
        <f t="array" aca="1" ref="B14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8" s="22" t="str" cm="1">
        <f t="array" aca="1" ref="C14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A1408, "'!C:C")),"NOK"))&gt;0, "NOK", "Pending....")),"")</f>
        <v/>
      </c>
      <c r="D1408" s="24"/>
      <c r="E1408" s="24"/>
      <c r="F1408" s="24"/>
      <c r="G1408" s="29"/>
      <c r="H1408" s="24"/>
    </row>
    <row r="1409" spans="2:8" x14ac:dyDescent="0.25">
      <c r="B1409" s="21" t="str" cm="1">
        <f t="array" aca="1" ref="B14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09" s="22" t="str" cm="1">
        <f t="array" aca="1" ref="C14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A1409, "'!C:C")),"NOK"))&gt;0, "NOK", "Pending....")),"")</f>
        <v/>
      </c>
      <c r="D1409" s="24"/>
      <c r="E1409" s="24"/>
      <c r="F1409" s="24"/>
      <c r="G1409" s="29"/>
      <c r="H1409" s="24"/>
    </row>
    <row r="1410" spans="2:8" x14ac:dyDescent="0.25">
      <c r="B1410" s="21" t="str" cm="1">
        <f t="array" aca="1" ref="B14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0" s="22" t="str" cm="1">
        <f t="array" aca="1" ref="C14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A1410, "'!C:C")),"NOK"))&gt;0, "NOK", "Pending....")),"")</f>
        <v/>
      </c>
      <c r="D1410" s="24"/>
      <c r="E1410" s="24"/>
      <c r="F1410" s="24"/>
      <c r="G1410" s="29"/>
      <c r="H1410" s="24"/>
    </row>
    <row r="1411" spans="2:8" x14ac:dyDescent="0.25">
      <c r="B1411" s="21" t="str" cm="1">
        <f t="array" aca="1" ref="B14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1" s="22" t="str" cm="1">
        <f t="array" aca="1" ref="C14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A1411, "'!C:C")),"NOK"))&gt;0, "NOK", "Pending....")),"")</f>
        <v/>
      </c>
      <c r="D1411" s="24"/>
      <c r="E1411" s="24"/>
      <c r="F1411" s="24"/>
      <c r="G1411" s="29"/>
      <c r="H1411" s="24"/>
    </row>
    <row r="1412" spans="2:8" x14ac:dyDescent="0.25">
      <c r="B1412" s="21" t="str" cm="1">
        <f t="array" aca="1" ref="B14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2" s="22" t="str" cm="1">
        <f t="array" aca="1" ref="C14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A1412, "'!C:C")),"NOK"))&gt;0, "NOK", "Pending....")),"")</f>
        <v/>
      </c>
      <c r="D1412" s="24"/>
      <c r="E1412" s="24"/>
      <c r="F1412" s="24"/>
      <c r="G1412" s="29"/>
      <c r="H1412" s="24"/>
    </row>
    <row r="1413" spans="2:8" x14ac:dyDescent="0.25">
      <c r="B1413" s="21" t="str" cm="1">
        <f t="array" aca="1" ref="B14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3" s="22" t="str" cm="1">
        <f t="array" aca="1" ref="C14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A1413, "'!C:C")),"NOK"))&gt;0, "NOK", "Pending....")),"")</f>
        <v/>
      </c>
      <c r="D1413" s="24"/>
      <c r="E1413" s="24"/>
      <c r="F1413" s="24"/>
      <c r="G1413" s="29"/>
      <c r="H1413" s="24"/>
    </row>
    <row r="1414" spans="2:8" x14ac:dyDescent="0.25">
      <c r="B1414" s="21" t="str" cm="1">
        <f t="array" aca="1" ref="B14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4" s="22" t="str" cm="1">
        <f t="array" aca="1" ref="C14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A1414, "'!C:C")),"NOK"))&gt;0, "NOK", "Pending....")),"")</f>
        <v/>
      </c>
      <c r="D1414" s="24"/>
      <c r="E1414" s="24"/>
      <c r="F1414" s="24"/>
      <c r="G1414" s="29"/>
      <c r="H1414" s="24"/>
    </row>
    <row r="1415" spans="2:8" x14ac:dyDescent="0.25">
      <c r="B1415" s="21" t="str" cm="1">
        <f t="array" aca="1" ref="B14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5" s="22" t="str" cm="1">
        <f t="array" aca="1" ref="C14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A1415, "'!C:C")),"NOK"))&gt;0, "NOK", "Pending....")),"")</f>
        <v/>
      </c>
      <c r="D1415" s="24"/>
      <c r="E1415" s="24"/>
      <c r="F1415" s="24"/>
      <c r="G1415" s="29"/>
      <c r="H1415" s="24"/>
    </row>
    <row r="1416" spans="2:8" x14ac:dyDescent="0.25">
      <c r="B1416" s="21" t="str" cm="1">
        <f t="array" aca="1" ref="B14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6" s="22" t="str" cm="1">
        <f t="array" aca="1" ref="C14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A1416, "'!C:C")),"NOK"))&gt;0, "NOK", "Pending....")),"")</f>
        <v/>
      </c>
      <c r="D1416" s="24"/>
      <c r="E1416" s="24"/>
      <c r="F1416" s="24"/>
      <c r="G1416" s="29"/>
      <c r="H1416" s="24"/>
    </row>
    <row r="1417" spans="2:8" x14ac:dyDescent="0.25">
      <c r="B1417" s="21" t="str" cm="1">
        <f t="array" aca="1" ref="B14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7" s="22" t="str" cm="1">
        <f t="array" aca="1" ref="C14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A1417, "'!C:C")),"NOK"))&gt;0, "NOK", "Pending....")),"")</f>
        <v/>
      </c>
      <c r="D1417" s="24"/>
      <c r="E1417" s="24"/>
      <c r="F1417" s="24"/>
      <c r="G1417" s="29"/>
      <c r="H1417" s="24"/>
    </row>
    <row r="1418" spans="2:8" x14ac:dyDescent="0.25">
      <c r="B1418" s="21" t="str" cm="1">
        <f t="array" aca="1" ref="B14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8" s="22" t="str" cm="1">
        <f t="array" aca="1" ref="C14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A1418, "'!C:C")),"NOK"))&gt;0, "NOK", "Pending....")),"")</f>
        <v/>
      </c>
      <c r="D1418" s="24"/>
      <c r="E1418" s="24"/>
      <c r="F1418" s="24"/>
      <c r="G1418" s="29"/>
      <c r="H1418" s="24"/>
    </row>
    <row r="1419" spans="2:8" x14ac:dyDescent="0.25">
      <c r="B1419" s="21" t="str" cm="1">
        <f t="array" aca="1" ref="B14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19" s="22" t="str" cm="1">
        <f t="array" aca="1" ref="C14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A1419, "'!C:C")),"NOK"))&gt;0, "NOK", "Pending....")),"")</f>
        <v/>
      </c>
      <c r="D1419" s="24"/>
      <c r="E1419" s="24"/>
      <c r="F1419" s="24"/>
      <c r="G1419" s="29"/>
      <c r="H1419" s="24"/>
    </row>
    <row r="1420" spans="2:8" x14ac:dyDescent="0.25">
      <c r="B1420" s="21" t="str" cm="1">
        <f t="array" aca="1" ref="B14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0" s="22" t="str" cm="1">
        <f t="array" aca="1" ref="C14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A1420, "'!C:C")),"NOK"))&gt;0, "NOK", "Pending....")),"")</f>
        <v/>
      </c>
      <c r="D1420" s="24"/>
      <c r="E1420" s="24"/>
      <c r="F1420" s="24"/>
      <c r="G1420" s="29"/>
      <c r="H1420" s="24"/>
    </row>
    <row r="1421" spans="2:8" x14ac:dyDescent="0.25">
      <c r="B1421" s="21" t="str" cm="1">
        <f t="array" aca="1" ref="B14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1" s="22" t="str" cm="1">
        <f t="array" aca="1" ref="C14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A1421, "'!C:C")),"NOK"))&gt;0, "NOK", "Pending....")),"")</f>
        <v/>
      </c>
      <c r="D1421" s="24"/>
      <c r="E1421" s="24"/>
      <c r="F1421" s="24"/>
      <c r="G1421" s="29"/>
      <c r="H1421" s="24"/>
    </row>
    <row r="1422" spans="2:8" x14ac:dyDescent="0.25">
      <c r="B1422" s="21" t="str" cm="1">
        <f t="array" aca="1" ref="B14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2" s="22" t="str" cm="1">
        <f t="array" aca="1" ref="C14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A1422, "'!C:C")),"NOK"))&gt;0, "NOK", "Pending....")),"")</f>
        <v/>
      </c>
      <c r="D1422" s="24"/>
      <c r="E1422" s="24"/>
      <c r="F1422" s="24"/>
      <c r="G1422" s="29"/>
      <c r="H1422" s="24"/>
    </row>
    <row r="1423" spans="2:8" x14ac:dyDescent="0.25">
      <c r="B1423" s="21" t="str" cm="1">
        <f t="array" aca="1" ref="B14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3" s="22" t="str" cm="1">
        <f t="array" aca="1" ref="C14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A1423, "'!C:C")),"NOK"))&gt;0, "NOK", "Pending....")),"")</f>
        <v/>
      </c>
      <c r="D1423" s="24"/>
      <c r="E1423" s="24"/>
      <c r="F1423" s="24"/>
      <c r="G1423" s="29"/>
      <c r="H1423" s="24"/>
    </row>
    <row r="1424" spans="2:8" x14ac:dyDescent="0.25">
      <c r="B1424" s="21" t="str" cm="1">
        <f t="array" aca="1" ref="B14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4" s="22" t="str" cm="1">
        <f t="array" aca="1" ref="C14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A1424, "'!C:C")),"NOK"))&gt;0, "NOK", "Pending....")),"")</f>
        <v/>
      </c>
      <c r="D1424" s="24"/>
      <c r="E1424" s="24"/>
      <c r="F1424" s="24"/>
      <c r="G1424" s="29"/>
      <c r="H1424" s="24"/>
    </row>
    <row r="1425" spans="2:8" x14ac:dyDescent="0.25">
      <c r="B1425" s="21" t="str" cm="1">
        <f t="array" aca="1" ref="B14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5" s="22" t="str" cm="1">
        <f t="array" aca="1" ref="C14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A1425, "'!C:C")),"NOK"))&gt;0, "NOK", "Pending....")),"")</f>
        <v/>
      </c>
      <c r="D1425" s="24"/>
      <c r="E1425" s="24"/>
      <c r="F1425" s="24"/>
      <c r="G1425" s="29"/>
      <c r="H1425" s="24"/>
    </row>
    <row r="1426" spans="2:8" x14ac:dyDescent="0.25">
      <c r="B1426" s="21" t="str" cm="1">
        <f t="array" aca="1" ref="B14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6" s="22" t="str" cm="1">
        <f t="array" aca="1" ref="C14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A1426, "'!C:C")),"NOK"))&gt;0, "NOK", "Pending....")),"")</f>
        <v/>
      </c>
      <c r="D1426" s="24"/>
      <c r="E1426" s="24"/>
      <c r="F1426" s="24"/>
      <c r="G1426" s="29"/>
      <c r="H1426" s="24"/>
    </row>
    <row r="1427" spans="2:8" x14ac:dyDescent="0.25">
      <c r="B1427" s="21" t="str" cm="1">
        <f t="array" aca="1" ref="B14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7" s="22" t="str" cm="1">
        <f t="array" aca="1" ref="C14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A1427, "'!C:C")),"NOK"))&gt;0, "NOK", "Pending....")),"")</f>
        <v/>
      </c>
      <c r="D1427" s="24"/>
      <c r="E1427" s="24"/>
      <c r="F1427" s="24"/>
      <c r="G1427" s="29"/>
      <c r="H1427" s="24"/>
    </row>
    <row r="1428" spans="2:8" x14ac:dyDescent="0.25">
      <c r="B1428" s="21" t="str" cm="1">
        <f t="array" aca="1" ref="B14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8" s="22" t="str" cm="1">
        <f t="array" aca="1" ref="C14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A1428, "'!C:C")),"NOK"))&gt;0, "NOK", "Pending....")),"")</f>
        <v/>
      </c>
      <c r="D1428" s="24"/>
      <c r="E1428" s="24"/>
      <c r="F1428" s="24"/>
      <c r="G1428" s="29"/>
      <c r="H1428" s="24"/>
    </row>
    <row r="1429" spans="2:8" x14ac:dyDescent="0.25">
      <c r="B1429" s="21" t="str" cm="1">
        <f t="array" aca="1" ref="B14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29" s="22" t="str" cm="1">
        <f t="array" aca="1" ref="C14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A1429, "'!C:C")),"NOK"))&gt;0, "NOK", "Pending....")),"")</f>
        <v/>
      </c>
      <c r="D1429" s="24"/>
      <c r="E1429" s="24"/>
      <c r="F1429" s="24"/>
      <c r="G1429" s="29"/>
      <c r="H1429" s="24"/>
    </row>
    <row r="1430" spans="2:8" x14ac:dyDescent="0.25">
      <c r="B1430" s="21" t="str" cm="1">
        <f t="array" aca="1" ref="B14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0" s="22" t="str" cm="1">
        <f t="array" aca="1" ref="C14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A1430, "'!C:C")),"NOK"))&gt;0, "NOK", "Pending....")),"")</f>
        <v/>
      </c>
      <c r="D1430" s="24"/>
      <c r="E1430" s="24"/>
      <c r="F1430" s="24"/>
      <c r="G1430" s="29"/>
      <c r="H1430" s="24"/>
    </row>
    <row r="1431" spans="2:8" x14ac:dyDescent="0.25">
      <c r="B1431" s="21" t="str" cm="1">
        <f t="array" aca="1" ref="B14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1" s="22" t="str" cm="1">
        <f t="array" aca="1" ref="C14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A1431, "'!C:C")),"NOK"))&gt;0, "NOK", "Pending....")),"")</f>
        <v/>
      </c>
      <c r="D1431" s="24"/>
      <c r="E1431" s="24"/>
      <c r="F1431" s="24"/>
      <c r="G1431" s="29"/>
      <c r="H1431" s="24"/>
    </row>
    <row r="1432" spans="2:8" x14ac:dyDescent="0.25">
      <c r="B1432" s="21" t="str" cm="1">
        <f t="array" aca="1" ref="B14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2" s="22" t="str" cm="1">
        <f t="array" aca="1" ref="C14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A1432, "'!C:C")),"NOK"))&gt;0, "NOK", "Pending....")),"")</f>
        <v/>
      </c>
      <c r="D1432" s="24"/>
      <c r="E1432" s="24"/>
      <c r="F1432" s="24"/>
      <c r="G1432" s="29"/>
      <c r="H1432" s="24"/>
    </row>
    <row r="1433" spans="2:8" x14ac:dyDescent="0.25">
      <c r="B1433" s="21" t="str" cm="1">
        <f t="array" aca="1" ref="B14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3" s="22" t="str" cm="1">
        <f t="array" aca="1" ref="C14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A1433, "'!C:C")),"NOK"))&gt;0, "NOK", "Pending....")),"")</f>
        <v/>
      </c>
      <c r="D1433" s="24"/>
      <c r="E1433" s="24"/>
      <c r="F1433" s="24"/>
      <c r="G1433" s="29"/>
      <c r="H1433" s="24"/>
    </row>
    <row r="1434" spans="2:8" x14ac:dyDescent="0.25">
      <c r="B1434" s="21" t="str" cm="1">
        <f t="array" aca="1" ref="B14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4" s="22" t="str" cm="1">
        <f t="array" aca="1" ref="C14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A1434, "'!C:C")),"NOK"))&gt;0, "NOK", "Pending....")),"")</f>
        <v/>
      </c>
      <c r="D1434" s="24"/>
      <c r="E1434" s="24"/>
      <c r="F1434" s="24"/>
      <c r="G1434" s="29"/>
      <c r="H1434" s="24"/>
    </row>
    <row r="1435" spans="2:8" x14ac:dyDescent="0.25">
      <c r="B1435" s="21" t="str" cm="1">
        <f t="array" aca="1" ref="B14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5" s="22" t="str" cm="1">
        <f t="array" aca="1" ref="C14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A1435, "'!C:C")),"NOK"))&gt;0, "NOK", "Pending....")),"")</f>
        <v/>
      </c>
      <c r="D1435" s="24"/>
      <c r="E1435" s="24"/>
      <c r="F1435" s="24"/>
      <c r="G1435" s="29"/>
      <c r="H1435" s="24"/>
    </row>
    <row r="1436" spans="2:8" x14ac:dyDescent="0.25">
      <c r="B1436" s="21" t="str" cm="1">
        <f t="array" aca="1" ref="B14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6" s="22" t="str" cm="1">
        <f t="array" aca="1" ref="C14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A1436, "'!C:C")),"NOK"))&gt;0, "NOK", "Pending....")),"")</f>
        <v/>
      </c>
      <c r="D1436" s="24"/>
      <c r="E1436" s="24"/>
      <c r="F1436" s="24"/>
      <c r="G1436" s="29"/>
      <c r="H1436" s="24"/>
    </row>
    <row r="1437" spans="2:8" x14ac:dyDescent="0.25">
      <c r="B1437" s="21" t="str" cm="1">
        <f t="array" aca="1" ref="B14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7" s="22" t="str" cm="1">
        <f t="array" aca="1" ref="C14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A1437, "'!C:C")),"NOK"))&gt;0, "NOK", "Pending....")),"")</f>
        <v/>
      </c>
      <c r="D1437" s="24"/>
      <c r="E1437" s="24"/>
      <c r="F1437" s="24"/>
      <c r="G1437" s="29"/>
      <c r="H1437" s="24"/>
    </row>
    <row r="1438" spans="2:8" x14ac:dyDescent="0.25">
      <c r="B1438" s="21" t="str" cm="1">
        <f t="array" aca="1" ref="B14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8" s="22" t="str" cm="1">
        <f t="array" aca="1" ref="C14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A1438, "'!C:C")),"NOK"))&gt;0, "NOK", "Pending....")),"")</f>
        <v/>
      </c>
      <c r="D1438" s="24"/>
      <c r="E1438" s="24"/>
      <c r="F1438" s="24"/>
      <c r="G1438" s="29"/>
      <c r="H1438" s="24"/>
    </row>
    <row r="1439" spans="2:8" x14ac:dyDescent="0.25">
      <c r="B1439" s="21" t="str" cm="1">
        <f t="array" aca="1" ref="B14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39" s="22" t="str" cm="1">
        <f t="array" aca="1" ref="C14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A1439, "'!C:C")),"NOK"))&gt;0, "NOK", "Pending....")),"")</f>
        <v/>
      </c>
      <c r="D1439" s="24"/>
      <c r="E1439" s="24"/>
      <c r="F1439" s="24"/>
      <c r="G1439" s="29"/>
      <c r="H1439" s="24"/>
    </row>
    <row r="1440" spans="2:8" x14ac:dyDescent="0.25">
      <c r="B1440" s="21" t="str" cm="1">
        <f t="array" aca="1" ref="B14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0" s="22" t="str" cm="1">
        <f t="array" aca="1" ref="C14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A1440, "'!C:C")),"NOK"))&gt;0, "NOK", "Pending....")),"")</f>
        <v/>
      </c>
      <c r="D1440" s="24"/>
      <c r="E1440" s="24"/>
      <c r="F1440" s="24"/>
      <c r="G1440" s="29"/>
      <c r="H1440" s="24"/>
    </row>
    <row r="1441" spans="2:8" x14ac:dyDescent="0.25">
      <c r="B1441" s="21" t="str" cm="1">
        <f t="array" aca="1" ref="B14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1" s="22" t="str" cm="1">
        <f t="array" aca="1" ref="C14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A1441, "'!C:C")),"NOK"))&gt;0, "NOK", "Pending....")),"")</f>
        <v/>
      </c>
      <c r="D1441" s="24"/>
      <c r="E1441" s="24"/>
      <c r="F1441" s="24"/>
      <c r="G1441" s="29"/>
      <c r="H1441" s="24"/>
    </row>
    <row r="1442" spans="2:8" x14ac:dyDescent="0.25">
      <c r="B1442" s="21" t="str" cm="1">
        <f t="array" aca="1" ref="B14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2" s="22" t="str" cm="1">
        <f t="array" aca="1" ref="C14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A1442, "'!C:C")),"NOK"))&gt;0, "NOK", "Pending....")),"")</f>
        <v/>
      </c>
      <c r="D1442" s="24"/>
      <c r="E1442" s="24"/>
      <c r="F1442" s="24"/>
      <c r="G1442" s="29"/>
      <c r="H1442" s="24"/>
    </row>
    <row r="1443" spans="2:8" x14ac:dyDescent="0.25">
      <c r="B1443" s="21" t="str" cm="1">
        <f t="array" aca="1" ref="B14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3" s="22" t="str" cm="1">
        <f t="array" aca="1" ref="C14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A1443, "'!C:C")),"NOK"))&gt;0, "NOK", "Pending....")),"")</f>
        <v/>
      </c>
      <c r="D1443" s="24"/>
      <c r="E1443" s="24"/>
      <c r="F1443" s="24"/>
      <c r="G1443" s="29"/>
      <c r="H1443" s="24"/>
    </row>
    <row r="1444" spans="2:8" x14ac:dyDescent="0.25">
      <c r="B1444" s="21" t="str" cm="1">
        <f t="array" aca="1" ref="B14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4" s="22" t="str" cm="1">
        <f t="array" aca="1" ref="C14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A1444, "'!C:C")),"NOK"))&gt;0, "NOK", "Pending....")),"")</f>
        <v/>
      </c>
      <c r="D1444" s="24"/>
      <c r="E1444" s="24"/>
      <c r="F1444" s="24"/>
      <c r="G1444" s="29"/>
      <c r="H1444" s="24"/>
    </row>
    <row r="1445" spans="2:8" x14ac:dyDescent="0.25">
      <c r="B1445" s="21" t="str" cm="1">
        <f t="array" aca="1" ref="B14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5" s="22" t="str" cm="1">
        <f t="array" aca="1" ref="C14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A1445, "'!C:C")),"NOK"))&gt;0, "NOK", "Pending....")),"")</f>
        <v/>
      </c>
      <c r="D1445" s="24"/>
      <c r="E1445" s="24"/>
      <c r="F1445" s="24"/>
      <c r="G1445" s="29"/>
      <c r="H1445" s="24"/>
    </row>
    <row r="1446" spans="2:8" x14ac:dyDescent="0.25">
      <c r="B1446" s="21" t="str" cm="1">
        <f t="array" aca="1" ref="B14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6" s="22" t="str" cm="1">
        <f t="array" aca="1" ref="C14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A1446, "'!C:C")),"NOK"))&gt;0, "NOK", "Pending....")),"")</f>
        <v/>
      </c>
      <c r="D1446" s="24"/>
      <c r="E1446" s="24"/>
      <c r="F1446" s="24"/>
      <c r="G1446" s="29"/>
      <c r="H1446" s="24"/>
    </row>
    <row r="1447" spans="2:8" x14ac:dyDescent="0.25">
      <c r="B1447" s="21" t="str" cm="1">
        <f t="array" aca="1" ref="B14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7" s="22" t="str" cm="1">
        <f t="array" aca="1" ref="C14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A1447, "'!C:C")),"NOK"))&gt;0, "NOK", "Pending....")),"")</f>
        <v/>
      </c>
      <c r="D1447" s="24"/>
      <c r="E1447" s="24"/>
      <c r="F1447" s="24"/>
      <c r="G1447" s="29"/>
      <c r="H1447" s="24"/>
    </row>
    <row r="1448" spans="2:8" x14ac:dyDescent="0.25">
      <c r="B1448" s="21" t="str" cm="1">
        <f t="array" aca="1" ref="B14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8" s="22" t="str" cm="1">
        <f t="array" aca="1" ref="C14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A1448, "'!C:C")),"NOK"))&gt;0, "NOK", "Pending....")),"")</f>
        <v/>
      </c>
      <c r="D1448" s="24"/>
      <c r="E1448" s="24"/>
      <c r="F1448" s="24"/>
      <c r="G1448" s="29"/>
      <c r="H1448" s="24"/>
    </row>
    <row r="1449" spans="2:8" x14ac:dyDescent="0.25">
      <c r="B1449" s="21" t="str" cm="1">
        <f t="array" aca="1" ref="B14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49" s="22" t="str" cm="1">
        <f t="array" aca="1" ref="C14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A1449, "'!C:C")),"NOK"))&gt;0, "NOK", "Pending....")),"")</f>
        <v/>
      </c>
      <c r="D1449" s="24"/>
      <c r="E1449" s="24"/>
      <c r="F1449" s="24"/>
      <c r="G1449" s="29"/>
      <c r="H1449" s="24"/>
    </row>
    <row r="1450" spans="2:8" x14ac:dyDescent="0.25">
      <c r="B1450" s="21" t="str" cm="1">
        <f t="array" aca="1" ref="B14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0" s="22" t="str" cm="1">
        <f t="array" aca="1" ref="C14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A1450, "'!C:C")),"NOK"))&gt;0, "NOK", "Pending....")),"")</f>
        <v/>
      </c>
      <c r="D1450" s="24"/>
      <c r="E1450" s="24"/>
      <c r="F1450" s="24"/>
      <c r="G1450" s="29"/>
      <c r="H1450" s="24"/>
    </row>
    <row r="1451" spans="2:8" x14ac:dyDescent="0.25">
      <c r="B1451" s="21" t="str" cm="1">
        <f t="array" aca="1" ref="B14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1" s="22" t="str" cm="1">
        <f t="array" aca="1" ref="C14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A1451, "'!C:C")),"NOK"))&gt;0, "NOK", "Pending....")),"")</f>
        <v/>
      </c>
      <c r="D1451" s="24"/>
      <c r="E1451" s="24"/>
      <c r="F1451" s="24"/>
      <c r="G1451" s="29"/>
      <c r="H1451" s="24"/>
    </row>
    <row r="1452" spans="2:8" x14ac:dyDescent="0.25">
      <c r="B1452" s="21" t="str" cm="1">
        <f t="array" aca="1" ref="B14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2" s="22" t="str" cm="1">
        <f t="array" aca="1" ref="C14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A1452, "'!C:C")),"NOK"))&gt;0, "NOK", "Pending....")),"")</f>
        <v/>
      </c>
      <c r="D1452" s="24"/>
      <c r="E1452" s="24"/>
      <c r="F1452" s="24"/>
      <c r="G1452" s="29"/>
      <c r="H1452" s="24"/>
    </row>
    <row r="1453" spans="2:8" x14ac:dyDescent="0.25">
      <c r="B1453" s="21" t="str" cm="1">
        <f t="array" aca="1" ref="B14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3" s="22" t="str" cm="1">
        <f t="array" aca="1" ref="C14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A1453, "'!C:C")),"NOK"))&gt;0, "NOK", "Pending....")),"")</f>
        <v/>
      </c>
      <c r="D1453" s="24"/>
      <c r="E1453" s="24"/>
      <c r="F1453" s="24"/>
      <c r="G1453" s="29"/>
      <c r="H1453" s="24"/>
    </row>
    <row r="1454" spans="2:8" x14ac:dyDescent="0.25">
      <c r="B1454" s="21" t="str" cm="1">
        <f t="array" aca="1" ref="B14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4" s="22" t="str" cm="1">
        <f t="array" aca="1" ref="C14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A1454, "'!C:C")),"NOK"))&gt;0, "NOK", "Pending....")),"")</f>
        <v/>
      </c>
      <c r="D1454" s="24"/>
      <c r="E1454" s="24"/>
      <c r="F1454" s="24"/>
      <c r="G1454" s="29"/>
      <c r="H1454" s="24"/>
    </row>
    <row r="1455" spans="2:8" x14ac:dyDescent="0.25">
      <c r="B1455" s="21" t="str" cm="1">
        <f t="array" aca="1" ref="B14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5" s="22" t="str" cm="1">
        <f t="array" aca="1" ref="C14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A1455, "'!C:C")),"NOK"))&gt;0, "NOK", "Pending....")),"")</f>
        <v/>
      </c>
      <c r="D1455" s="24"/>
      <c r="E1455" s="24"/>
      <c r="F1455" s="24"/>
      <c r="G1455" s="29"/>
      <c r="H1455" s="24"/>
    </row>
    <row r="1456" spans="2:8" x14ac:dyDescent="0.25">
      <c r="B1456" s="21" t="str" cm="1">
        <f t="array" aca="1" ref="B14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6" s="22" t="str" cm="1">
        <f t="array" aca="1" ref="C14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A1456, "'!C:C")),"NOK"))&gt;0, "NOK", "Pending....")),"")</f>
        <v/>
      </c>
      <c r="D1456" s="24"/>
      <c r="E1456" s="24"/>
      <c r="F1456" s="24"/>
      <c r="G1456" s="29"/>
      <c r="H1456" s="24"/>
    </row>
    <row r="1457" spans="2:8" x14ac:dyDescent="0.25">
      <c r="B1457" s="21" t="str" cm="1">
        <f t="array" aca="1" ref="B14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7" s="22" t="str" cm="1">
        <f t="array" aca="1" ref="C14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A1457, "'!C:C")),"NOK"))&gt;0, "NOK", "Pending....")),"")</f>
        <v/>
      </c>
      <c r="D1457" s="24"/>
      <c r="E1457" s="24"/>
      <c r="F1457" s="24"/>
      <c r="G1457" s="29"/>
      <c r="H1457" s="24"/>
    </row>
    <row r="1458" spans="2:8" x14ac:dyDescent="0.25">
      <c r="B1458" s="21" t="str" cm="1">
        <f t="array" aca="1" ref="B14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8" s="22" t="str" cm="1">
        <f t="array" aca="1" ref="C14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A1458, "'!C:C")),"NOK"))&gt;0, "NOK", "Pending....")),"")</f>
        <v/>
      </c>
      <c r="D1458" s="24"/>
      <c r="E1458" s="24"/>
      <c r="F1458" s="24"/>
      <c r="G1458" s="29"/>
      <c r="H1458" s="24"/>
    </row>
    <row r="1459" spans="2:8" x14ac:dyDescent="0.25">
      <c r="B1459" s="21" t="str" cm="1">
        <f t="array" aca="1" ref="B14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59" s="22" t="str" cm="1">
        <f t="array" aca="1" ref="C14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A1459, "'!C:C")),"NOK"))&gt;0, "NOK", "Pending....")),"")</f>
        <v/>
      </c>
      <c r="D1459" s="24"/>
      <c r="E1459" s="24"/>
      <c r="F1459" s="24"/>
      <c r="G1459" s="29"/>
      <c r="H1459" s="24"/>
    </row>
    <row r="1460" spans="2:8" x14ac:dyDescent="0.25">
      <c r="B1460" s="21" t="str" cm="1">
        <f t="array" aca="1" ref="B14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0" s="22" t="str" cm="1">
        <f t="array" aca="1" ref="C14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A1460, "'!C:C")),"NOK"))&gt;0, "NOK", "Pending....")),"")</f>
        <v/>
      </c>
      <c r="D1460" s="24"/>
      <c r="E1460" s="24"/>
      <c r="F1460" s="24"/>
      <c r="G1460" s="29"/>
      <c r="H1460" s="24"/>
    </row>
    <row r="1461" spans="2:8" x14ac:dyDescent="0.25">
      <c r="B1461" s="21" t="str" cm="1">
        <f t="array" aca="1" ref="B14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1" s="22" t="str" cm="1">
        <f t="array" aca="1" ref="C14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A1461, "'!C:C")),"NOK"))&gt;0, "NOK", "Pending....")),"")</f>
        <v/>
      </c>
      <c r="D1461" s="24"/>
      <c r="E1461" s="24"/>
      <c r="F1461" s="24"/>
      <c r="G1461" s="29"/>
      <c r="H1461" s="24"/>
    </row>
    <row r="1462" spans="2:8" x14ac:dyDescent="0.25">
      <c r="B1462" s="21" t="str" cm="1">
        <f t="array" aca="1" ref="B14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2" s="22" t="str" cm="1">
        <f t="array" aca="1" ref="C14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A1462, "'!C:C")),"NOK"))&gt;0, "NOK", "Pending....")),"")</f>
        <v/>
      </c>
      <c r="D1462" s="24"/>
      <c r="E1462" s="24"/>
      <c r="F1462" s="24"/>
      <c r="G1462" s="29"/>
      <c r="H1462" s="24"/>
    </row>
    <row r="1463" spans="2:8" x14ac:dyDescent="0.25">
      <c r="B1463" s="21" t="str" cm="1">
        <f t="array" aca="1" ref="B14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3" s="22" t="str" cm="1">
        <f t="array" aca="1" ref="C14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A1463, "'!C:C")),"NOK"))&gt;0, "NOK", "Pending....")),"")</f>
        <v/>
      </c>
      <c r="D1463" s="24"/>
      <c r="E1463" s="24"/>
      <c r="F1463" s="24"/>
      <c r="G1463" s="29"/>
      <c r="H1463" s="24"/>
    </row>
    <row r="1464" spans="2:8" x14ac:dyDescent="0.25">
      <c r="B1464" s="21" t="str" cm="1">
        <f t="array" aca="1" ref="B14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4" s="22" t="str" cm="1">
        <f t="array" aca="1" ref="C14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A1464, "'!C:C")),"NOK"))&gt;0, "NOK", "Pending....")),"")</f>
        <v/>
      </c>
      <c r="D1464" s="24"/>
      <c r="E1464" s="24"/>
      <c r="F1464" s="24"/>
      <c r="G1464" s="29"/>
      <c r="H1464" s="24"/>
    </row>
    <row r="1465" spans="2:8" x14ac:dyDescent="0.25">
      <c r="B1465" s="21" t="str" cm="1">
        <f t="array" aca="1" ref="B14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5" s="22" t="str" cm="1">
        <f t="array" aca="1" ref="C14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A1465, "'!C:C")),"NOK"))&gt;0, "NOK", "Pending....")),"")</f>
        <v/>
      </c>
      <c r="D1465" s="24"/>
      <c r="E1465" s="24"/>
      <c r="F1465" s="24"/>
      <c r="G1465" s="29"/>
      <c r="H1465" s="24"/>
    </row>
    <row r="1466" spans="2:8" x14ac:dyDescent="0.25">
      <c r="B1466" s="21" t="str" cm="1">
        <f t="array" aca="1" ref="B14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6" s="22" t="str" cm="1">
        <f t="array" aca="1" ref="C14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A1466, "'!C:C")),"NOK"))&gt;0, "NOK", "Pending....")),"")</f>
        <v/>
      </c>
      <c r="D1466" s="24"/>
      <c r="E1466" s="24"/>
      <c r="F1466" s="24"/>
      <c r="G1466" s="29"/>
      <c r="H1466" s="24"/>
    </row>
    <row r="1467" spans="2:8" x14ac:dyDescent="0.25">
      <c r="B1467" s="21" t="str" cm="1">
        <f t="array" aca="1" ref="B14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7" s="22" t="str" cm="1">
        <f t="array" aca="1" ref="C14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A1467, "'!C:C")),"NOK"))&gt;0, "NOK", "Pending....")),"")</f>
        <v/>
      </c>
      <c r="D1467" s="24"/>
      <c r="E1467" s="24"/>
      <c r="F1467" s="24"/>
      <c r="G1467" s="29"/>
      <c r="H1467" s="24"/>
    </row>
    <row r="1468" spans="2:8" x14ac:dyDescent="0.25">
      <c r="B1468" s="21" t="str" cm="1">
        <f t="array" aca="1" ref="B14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8" s="22" t="str" cm="1">
        <f t="array" aca="1" ref="C14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A1468, "'!C:C")),"NOK"))&gt;0, "NOK", "Pending....")),"")</f>
        <v/>
      </c>
      <c r="D1468" s="24"/>
      <c r="E1468" s="24"/>
      <c r="F1468" s="24"/>
      <c r="G1468" s="29"/>
      <c r="H1468" s="24"/>
    </row>
    <row r="1469" spans="2:8" x14ac:dyDescent="0.25">
      <c r="B1469" s="21" t="str" cm="1">
        <f t="array" aca="1" ref="B14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69" s="22" t="str" cm="1">
        <f t="array" aca="1" ref="C14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A1469, "'!C:C")),"NOK"))&gt;0, "NOK", "Pending....")),"")</f>
        <v/>
      </c>
      <c r="D1469" s="24"/>
      <c r="E1469" s="24"/>
      <c r="F1469" s="24"/>
      <c r="G1469" s="29"/>
      <c r="H1469" s="24"/>
    </row>
    <row r="1470" spans="2:8" x14ac:dyDescent="0.25">
      <c r="B1470" s="21" t="str" cm="1">
        <f t="array" aca="1" ref="B14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0" s="22" t="str" cm="1">
        <f t="array" aca="1" ref="C14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A1470, "'!C:C")),"NOK"))&gt;0, "NOK", "Pending....")),"")</f>
        <v/>
      </c>
      <c r="D1470" s="24"/>
      <c r="E1470" s="24"/>
      <c r="F1470" s="24"/>
      <c r="G1470" s="29"/>
      <c r="H1470" s="24"/>
    </row>
    <row r="1471" spans="2:8" x14ac:dyDescent="0.25">
      <c r="B1471" s="21" t="str" cm="1">
        <f t="array" aca="1" ref="B14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1" s="22" t="str" cm="1">
        <f t="array" aca="1" ref="C14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A1471, "'!C:C")),"NOK"))&gt;0, "NOK", "Pending....")),"")</f>
        <v/>
      </c>
      <c r="D1471" s="24"/>
      <c r="E1471" s="24"/>
      <c r="F1471" s="24"/>
      <c r="G1471" s="29"/>
      <c r="H1471" s="24"/>
    </row>
    <row r="1472" spans="2:8" x14ac:dyDescent="0.25">
      <c r="B1472" s="21" t="str" cm="1">
        <f t="array" aca="1" ref="B14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2" s="22" t="str" cm="1">
        <f t="array" aca="1" ref="C14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A1472, "'!C:C")),"NOK"))&gt;0, "NOK", "Pending....")),"")</f>
        <v/>
      </c>
      <c r="D1472" s="24"/>
      <c r="E1472" s="24"/>
      <c r="F1472" s="24"/>
      <c r="G1472" s="29"/>
      <c r="H1472" s="24"/>
    </row>
    <row r="1473" spans="2:8" x14ac:dyDescent="0.25">
      <c r="B1473" s="21" t="str" cm="1">
        <f t="array" aca="1" ref="B14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3" s="22" t="str" cm="1">
        <f t="array" aca="1" ref="C14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A1473, "'!C:C")),"NOK"))&gt;0, "NOK", "Pending....")),"")</f>
        <v/>
      </c>
      <c r="D1473" s="24"/>
      <c r="E1473" s="24"/>
      <c r="F1473" s="24"/>
      <c r="G1473" s="29"/>
      <c r="H1473" s="24"/>
    </row>
    <row r="1474" spans="2:8" x14ac:dyDescent="0.25">
      <c r="B1474" s="21" t="str" cm="1">
        <f t="array" aca="1" ref="B14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4" s="22" t="str" cm="1">
        <f t="array" aca="1" ref="C14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A1474, "'!C:C")),"NOK"))&gt;0, "NOK", "Pending....")),"")</f>
        <v/>
      </c>
      <c r="D1474" s="24"/>
      <c r="E1474" s="24"/>
      <c r="F1474" s="24"/>
      <c r="G1474" s="29"/>
      <c r="H1474" s="24"/>
    </row>
    <row r="1475" spans="2:8" x14ac:dyDescent="0.25">
      <c r="B1475" s="21" t="str" cm="1">
        <f t="array" aca="1" ref="B14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5" s="22" t="str" cm="1">
        <f t="array" aca="1" ref="C14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A1475, "'!C:C")),"NOK"))&gt;0, "NOK", "Pending....")),"")</f>
        <v/>
      </c>
      <c r="D1475" s="24"/>
      <c r="E1475" s="24"/>
      <c r="F1475" s="24"/>
      <c r="G1475" s="29"/>
      <c r="H1475" s="24"/>
    </row>
    <row r="1476" spans="2:8" x14ac:dyDescent="0.25">
      <c r="B1476" s="21" t="str" cm="1">
        <f t="array" aca="1" ref="B14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6" s="22" t="str" cm="1">
        <f t="array" aca="1" ref="C14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A1476, "'!C:C")),"NOK"))&gt;0, "NOK", "Pending....")),"")</f>
        <v/>
      </c>
      <c r="D1476" s="24"/>
      <c r="E1476" s="24"/>
      <c r="F1476" s="24"/>
      <c r="G1476" s="29"/>
      <c r="H1476" s="24"/>
    </row>
    <row r="1477" spans="2:8" x14ac:dyDescent="0.25">
      <c r="B1477" s="21" t="str" cm="1">
        <f t="array" aca="1" ref="B14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7" s="22" t="str" cm="1">
        <f t="array" aca="1" ref="C14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A1477, "'!C:C")),"NOK"))&gt;0, "NOK", "Pending....")),"")</f>
        <v/>
      </c>
      <c r="D1477" s="24"/>
      <c r="E1477" s="24"/>
      <c r="F1477" s="24"/>
      <c r="G1477" s="29"/>
      <c r="H1477" s="24"/>
    </row>
    <row r="1478" spans="2:8" x14ac:dyDescent="0.25">
      <c r="B1478" s="21" t="str" cm="1">
        <f t="array" aca="1" ref="B14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8" s="22" t="str" cm="1">
        <f t="array" aca="1" ref="C14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A1478, "'!C:C")),"NOK"))&gt;0, "NOK", "Pending....")),"")</f>
        <v/>
      </c>
      <c r="D1478" s="24"/>
      <c r="E1478" s="24"/>
      <c r="F1478" s="24"/>
      <c r="G1478" s="29"/>
      <c r="H1478" s="24"/>
    </row>
    <row r="1479" spans="2:8" x14ac:dyDescent="0.25">
      <c r="B1479" s="21" t="str" cm="1">
        <f t="array" aca="1" ref="B14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79" s="22" t="str" cm="1">
        <f t="array" aca="1" ref="C14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A1479, "'!C:C")),"NOK"))&gt;0, "NOK", "Pending....")),"")</f>
        <v/>
      </c>
      <c r="D1479" s="24"/>
      <c r="E1479" s="24"/>
      <c r="F1479" s="24"/>
      <c r="G1479" s="29"/>
      <c r="H1479" s="24"/>
    </row>
    <row r="1480" spans="2:8" x14ac:dyDescent="0.25">
      <c r="B1480" s="21" t="str" cm="1">
        <f t="array" aca="1" ref="B14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0" s="22" t="str" cm="1">
        <f t="array" aca="1" ref="C14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A1480, "'!C:C")),"NOK"))&gt;0, "NOK", "Pending....")),"")</f>
        <v/>
      </c>
      <c r="D1480" s="24"/>
      <c r="E1480" s="24"/>
      <c r="F1480" s="24"/>
      <c r="G1480" s="29"/>
      <c r="H1480" s="24"/>
    </row>
    <row r="1481" spans="2:8" x14ac:dyDescent="0.25">
      <c r="B1481" s="21" t="str" cm="1">
        <f t="array" aca="1" ref="B14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1" s="22" t="str" cm="1">
        <f t="array" aca="1" ref="C14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A1481, "'!C:C")),"NOK"))&gt;0, "NOK", "Pending....")),"")</f>
        <v/>
      </c>
      <c r="D1481" s="24"/>
      <c r="E1481" s="24"/>
      <c r="F1481" s="24"/>
      <c r="G1481" s="29"/>
      <c r="H1481" s="24"/>
    </row>
    <row r="1482" spans="2:8" x14ac:dyDescent="0.25">
      <c r="B1482" s="21" t="str" cm="1">
        <f t="array" aca="1" ref="B14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2" s="22" t="str" cm="1">
        <f t="array" aca="1" ref="C14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A1482, "'!C:C")),"NOK"))&gt;0, "NOK", "Pending....")),"")</f>
        <v/>
      </c>
      <c r="D1482" s="24"/>
      <c r="E1482" s="24"/>
      <c r="F1482" s="24"/>
      <c r="G1482" s="29"/>
      <c r="H1482" s="24"/>
    </row>
    <row r="1483" spans="2:8" x14ac:dyDescent="0.25">
      <c r="B1483" s="21" t="str" cm="1">
        <f t="array" aca="1" ref="B14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3" s="22" t="str" cm="1">
        <f t="array" aca="1" ref="C14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A1483, "'!C:C")),"NOK"))&gt;0, "NOK", "Pending....")),"")</f>
        <v/>
      </c>
      <c r="D1483" s="24"/>
      <c r="E1483" s="24"/>
      <c r="F1483" s="24"/>
      <c r="G1483" s="29"/>
      <c r="H1483" s="24"/>
    </row>
    <row r="1484" spans="2:8" x14ac:dyDescent="0.25">
      <c r="B1484" s="21" t="str" cm="1">
        <f t="array" aca="1" ref="B14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4" s="22" t="str" cm="1">
        <f t="array" aca="1" ref="C14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A1484, "'!C:C")),"NOK"))&gt;0, "NOK", "Pending....")),"")</f>
        <v/>
      </c>
      <c r="D1484" s="24"/>
      <c r="E1484" s="24"/>
      <c r="F1484" s="24"/>
      <c r="G1484" s="29"/>
      <c r="H1484" s="24"/>
    </row>
    <row r="1485" spans="2:8" x14ac:dyDescent="0.25">
      <c r="B1485" s="21" t="str" cm="1">
        <f t="array" aca="1" ref="B14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5" s="22" t="str" cm="1">
        <f t="array" aca="1" ref="C14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A1485, "'!C:C")),"NOK"))&gt;0, "NOK", "Pending....")),"")</f>
        <v/>
      </c>
      <c r="D1485" s="24"/>
      <c r="E1485" s="24"/>
      <c r="F1485" s="24"/>
      <c r="G1485" s="29"/>
      <c r="H1485" s="24"/>
    </row>
    <row r="1486" spans="2:8" x14ac:dyDescent="0.25">
      <c r="B1486" s="21" t="str" cm="1">
        <f t="array" aca="1" ref="B14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6" s="22" t="str" cm="1">
        <f t="array" aca="1" ref="C14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A1486, "'!C:C")),"NOK"))&gt;0, "NOK", "Pending....")),"")</f>
        <v/>
      </c>
      <c r="D1486" s="24"/>
      <c r="E1486" s="24"/>
      <c r="F1486" s="24"/>
      <c r="G1486" s="29"/>
      <c r="H1486" s="24"/>
    </row>
    <row r="1487" spans="2:8" x14ac:dyDescent="0.25">
      <c r="B1487" s="21" t="str" cm="1">
        <f t="array" aca="1" ref="B14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7" s="22" t="str" cm="1">
        <f t="array" aca="1" ref="C14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A1487, "'!C:C")),"NOK"))&gt;0, "NOK", "Pending....")),"")</f>
        <v/>
      </c>
      <c r="D1487" s="24"/>
      <c r="E1487" s="24"/>
      <c r="F1487" s="24"/>
      <c r="G1487" s="29"/>
      <c r="H1487" s="24"/>
    </row>
    <row r="1488" spans="2:8" x14ac:dyDescent="0.25">
      <c r="B1488" s="21" t="str" cm="1">
        <f t="array" aca="1" ref="B14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8" s="22" t="str" cm="1">
        <f t="array" aca="1" ref="C14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A1488, "'!C:C")),"NOK"))&gt;0, "NOK", "Pending....")),"")</f>
        <v/>
      </c>
      <c r="D1488" s="24"/>
      <c r="E1488" s="24"/>
      <c r="F1488" s="24"/>
      <c r="G1488" s="29"/>
      <c r="H1488" s="24"/>
    </row>
    <row r="1489" spans="2:8" x14ac:dyDescent="0.25">
      <c r="B1489" s="21" t="str" cm="1">
        <f t="array" aca="1" ref="B14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89" s="22" t="str" cm="1">
        <f t="array" aca="1" ref="C14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A1489, "'!C:C")),"NOK"))&gt;0, "NOK", "Pending....")),"")</f>
        <v/>
      </c>
      <c r="D1489" s="24"/>
      <c r="E1489" s="24"/>
      <c r="F1489" s="24"/>
      <c r="G1489" s="29"/>
      <c r="H1489" s="24"/>
    </row>
    <row r="1490" spans="2:8" x14ac:dyDescent="0.25">
      <c r="B1490" s="21" t="str" cm="1">
        <f t="array" aca="1" ref="B14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0" s="22" t="str" cm="1">
        <f t="array" aca="1" ref="C14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A1490, "'!C:C")),"NOK"))&gt;0, "NOK", "Pending....")),"")</f>
        <v/>
      </c>
      <c r="D1490" s="24"/>
      <c r="E1490" s="24"/>
      <c r="F1490" s="24"/>
      <c r="G1490" s="29"/>
      <c r="H1490" s="24"/>
    </row>
    <row r="1491" spans="2:8" x14ac:dyDescent="0.25">
      <c r="B1491" s="21" t="str" cm="1">
        <f t="array" aca="1" ref="B14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1" s="22" t="str" cm="1">
        <f t="array" aca="1" ref="C14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A1491, "'!C:C")),"NOK"))&gt;0, "NOK", "Pending....")),"")</f>
        <v/>
      </c>
      <c r="D1491" s="24"/>
      <c r="E1491" s="24"/>
      <c r="F1491" s="24"/>
      <c r="G1491" s="29"/>
      <c r="H1491" s="24"/>
    </row>
    <row r="1492" spans="2:8" x14ac:dyDescent="0.25">
      <c r="B1492" s="21" t="str" cm="1">
        <f t="array" aca="1" ref="B14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2" s="22" t="str" cm="1">
        <f t="array" aca="1" ref="C14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A1492, "'!C:C")),"NOK"))&gt;0, "NOK", "Pending....")),"")</f>
        <v/>
      </c>
      <c r="D1492" s="24"/>
      <c r="E1492" s="24"/>
      <c r="F1492" s="24"/>
      <c r="G1492" s="29"/>
      <c r="H1492" s="24"/>
    </row>
    <row r="1493" spans="2:8" x14ac:dyDescent="0.25">
      <c r="B1493" s="21" t="str" cm="1">
        <f t="array" aca="1" ref="B14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3" s="22" t="str" cm="1">
        <f t="array" aca="1" ref="C14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A1493, "'!C:C")),"NOK"))&gt;0, "NOK", "Pending....")),"")</f>
        <v/>
      </c>
      <c r="D1493" s="24"/>
      <c r="E1493" s="24"/>
      <c r="F1493" s="24"/>
      <c r="G1493" s="29"/>
      <c r="H1493" s="24"/>
    </row>
    <row r="1494" spans="2:8" x14ac:dyDescent="0.25">
      <c r="B1494" s="21" t="str" cm="1">
        <f t="array" aca="1" ref="B14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4" s="22" t="str" cm="1">
        <f t="array" aca="1" ref="C14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A1494, "'!C:C")),"NOK"))&gt;0, "NOK", "Pending....")),"")</f>
        <v/>
      </c>
      <c r="D1494" s="24"/>
      <c r="E1494" s="24"/>
      <c r="F1494" s="24"/>
      <c r="G1494" s="29"/>
      <c r="H1494" s="24"/>
    </row>
    <row r="1495" spans="2:8" x14ac:dyDescent="0.25">
      <c r="B1495" s="21" t="str" cm="1">
        <f t="array" aca="1" ref="B14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5" s="22" t="str" cm="1">
        <f t="array" aca="1" ref="C14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A1495, "'!C:C")),"NOK"))&gt;0, "NOK", "Pending....")),"")</f>
        <v/>
      </c>
      <c r="D1495" s="24"/>
      <c r="E1495" s="24"/>
      <c r="F1495" s="24"/>
      <c r="G1495" s="29"/>
      <c r="H1495" s="24"/>
    </row>
    <row r="1496" spans="2:8" x14ac:dyDescent="0.25">
      <c r="B1496" s="21" t="str" cm="1">
        <f t="array" aca="1" ref="B14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6" s="22" t="str" cm="1">
        <f t="array" aca="1" ref="C14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A1496, "'!C:C")),"NOK"))&gt;0, "NOK", "Pending....")),"")</f>
        <v/>
      </c>
      <c r="D1496" s="24"/>
      <c r="E1496" s="24"/>
      <c r="F1496" s="24"/>
      <c r="G1496" s="29"/>
      <c r="H1496" s="24"/>
    </row>
    <row r="1497" spans="2:8" x14ac:dyDescent="0.25">
      <c r="B1497" s="21" t="str" cm="1">
        <f t="array" aca="1" ref="B14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7" s="22" t="str" cm="1">
        <f t="array" aca="1" ref="C14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A1497, "'!C:C")),"NOK"))&gt;0, "NOK", "Pending....")),"")</f>
        <v/>
      </c>
      <c r="D1497" s="24"/>
      <c r="E1497" s="24"/>
      <c r="F1497" s="24"/>
      <c r="G1497" s="29"/>
      <c r="H1497" s="24"/>
    </row>
    <row r="1498" spans="2:8" x14ac:dyDescent="0.25">
      <c r="B1498" s="21" t="str" cm="1">
        <f t="array" aca="1" ref="B14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8" s="22" t="str" cm="1">
        <f t="array" aca="1" ref="C14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A1498, "'!C:C")),"NOK"))&gt;0, "NOK", "Pending....")),"")</f>
        <v/>
      </c>
      <c r="D1498" s="24"/>
      <c r="E1498" s="24"/>
      <c r="F1498" s="24"/>
      <c r="G1498" s="29"/>
      <c r="H1498" s="24"/>
    </row>
    <row r="1499" spans="2:8" x14ac:dyDescent="0.25">
      <c r="B1499" s="21" t="str" cm="1">
        <f t="array" aca="1" ref="B14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499" s="22" t="str" cm="1">
        <f t="array" aca="1" ref="C14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A1499, "'!C:C")),"NOK"))&gt;0, "NOK", "Pending....")),"")</f>
        <v/>
      </c>
      <c r="D1499" s="24"/>
      <c r="E1499" s="24"/>
      <c r="F1499" s="24"/>
      <c r="G1499" s="29"/>
      <c r="H1499" s="24"/>
    </row>
    <row r="1500" spans="2:8" x14ac:dyDescent="0.25">
      <c r="B1500" s="21" t="str" cm="1">
        <f t="array" aca="1" ref="B15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0" s="22" t="str" cm="1">
        <f t="array" aca="1" ref="C15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A1500, "'!C:C")),"NOK"))&gt;0, "NOK", "Pending....")),"")</f>
        <v/>
      </c>
      <c r="D1500" s="24"/>
      <c r="E1500" s="24"/>
      <c r="F1500" s="24"/>
      <c r="G1500" s="29"/>
      <c r="H1500" s="24"/>
    </row>
    <row r="1501" spans="2:8" x14ac:dyDescent="0.25">
      <c r="B1501" s="21" t="str" cm="1">
        <f t="array" aca="1" ref="B15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1" s="22" t="str" cm="1">
        <f t="array" aca="1" ref="C15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A1501, "'!C:C")),"NOK"))&gt;0, "NOK", "Pending....")),"")</f>
        <v/>
      </c>
      <c r="D1501" s="24"/>
      <c r="E1501" s="24"/>
      <c r="F1501" s="24"/>
      <c r="G1501" s="29"/>
      <c r="H1501" s="24"/>
    </row>
    <row r="1502" spans="2:8" x14ac:dyDescent="0.25">
      <c r="B1502" s="21" t="str" cm="1">
        <f t="array" aca="1" ref="B15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2" s="22" t="str" cm="1">
        <f t="array" aca="1" ref="C15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A1502, "'!C:C")),"NOK"))&gt;0, "NOK", "Pending....")),"")</f>
        <v/>
      </c>
      <c r="D1502" s="24"/>
      <c r="E1502" s="24"/>
      <c r="F1502" s="24"/>
      <c r="G1502" s="29"/>
      <c r="H1502" s="24"/>
    </row>
    <row r="1503" spans="2:8" x14ac:dyDescent="0.25">
      <c r="B1503" s="21" t="str" cm="1">
        <f t="array" aca="1" ref="B15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3" s="22" t="str" cm="1">
        <f t="array" aca="1" ref="C15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A1503, "'!C:C")),"NOK"))&gt;0, "NOK", "Pending....")),"")</f>
        <v/>
      </c>
      <c r="D1503" s="24"/>
      <c r="E1503" s="24"/>
      <c r="F1503" s="24"/>
      <c r="G1503" s="29"/>
      <c r="H1503" s="24"/>
    </row>
    <row r="1504" spans="2:8" x14ac:dyDescent="0.25">
      <c r="B1504" s="21" t="str" cm="1">
        <f t="array" aca="1" ref="B15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4" s="22" t="str" cm="1">
        <f t="array" aca="1" ref="C15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A1504, "'!C:C")),"NOK"))&gt;0, "NOK", "Pending....")),"")</f>
        <v/>
      </c>
      <c r="D1504" s="24"/>
      <c r="E1504" s="24"/>
      <c r="F1504" s="24"/>
      <c r="G1504" s="29"/>
      <c r="H1504" s="24"/>
    </row>
    <row r="1505" spans="2:8" x14ac:dyDescent="0.25">
      <c r="B1505" s="21" t="str" cm="1">
        <f t="array" aca="1" ref="B15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5" s="22" t="str" cm="1">
        <f t="array" aca="1" ref="C15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A1505, "'!C:C")),"NOK"))&gt;0, "NOK", "Pending....")),"")</f>
        <v/>
      </c>
      <c r="D1505" s="24"/>
      <c r="E1505" s="24"/>
      <c r="F1505" s="24"/>
      <c r="G1505" s="29"/>
      <c r="H1505" s="24"/>
    </row>
    <row r="1506" spans="2:8" x14ac:dyDescent="0.25">
      <c r="B1506" s="21" t="str" cm="1">
        <f t="array" aca="1" ref="B15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6" s="22" t="str" cm="1">
        <f t="array" aca="1" ref="C15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A1506, "'!C:C")),"NOK"))&gt;0, "NOK", "Pending....")),"")</f>
        <v/>
      </c>
      <c r="D1506" s="24"/>
      <c r="E1506" s="24"/>
      <c r="F1506" s="24"/>
      <c r="G1506" s="29"/>
      <c r="H1506" s="24"/>
    </row>
    <row r="1507" spans="2:8" x14ac:dyDescent="0.25">
      <c r="B1507" s="21" t="str" cm="1">
        <f t="array" aca="1" ref="B15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7" s="22" t="str" cm="1">
        <f t="array" aca="1" ref="C15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A1507, "'!C:C")),"NOK"))&gt;0, "NOK", "Pending....")),"")</f>
        <v/>
      </c>
      <c r="D1507" s="24"/>
      <c r="E1507" s="24"/>
      <c r="F1507" s="24"/>
      <c r="G1507" s="29"/>
      <c r="H1507" s="24"/>
    </row>
    <row r="1508" spans="2:8" x14ac:dyDescent="0.25">
      <c r="B1508" s="21" t="str" cm="1">
        <f t="array" aca="1" ref="B15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8" s="22" t="str" cm="1">
        <f t="array" aca="1" ref="C15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A1508, "'!C:C")),"NOK"))&gt;0, "NOK", "Pending....")),"")</f>
        <v/>
      </c>
      <c r="D1508" s="24"/>
      <c r="E1508" s="24"/>
      <c r="F1508" s="24"/>
      <c r="G1508" s="29"/>
      <c r="H1508" s="24"/>
    </row>
    <row r="1509" spans="2:8" x14ac:dyDescent="0.25">
      <c r="B1509" s="21" t="str" cm="1">
        <f t="array" aca="1" ref="B15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09" s="22" t="str" cm="1">
        <f t="array" aca="1" ref="C15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A1509, "'!C:C")),"NOK"))&gt;0, "NOK", "Pending....")),"")</f>
        <v/>
      </c>
      <c r="D1509" s="24"/>
      <c r="E1509" s="24"/>
      <c r="F1509" s="24"/>
      <c r="G1509" s="29"/>
      <c r="H1509" s="24"/>
    </row>
    <row r="1510" spans="2:8" x14ac:dyDescent="0.25">
      <c r="B1510" s="21" t="str" cm="1">
        <f t="array" aca="1" ref="B15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0" s="22" t="str" cm="1">
        <f t="array" aca="1" ref="C15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A1510, "'!C:C")),"NOK"))&gt;0, "NOK", "Pending....")),"")</f>
        <v/>
      </c>
      <c r="D1510" s="24"/>
      <c r="E1510" s="24"/>
      <c r="F1510" s="24"/>
      <c r="G1510" s="29"/>
      <c r="H1510" s="24"/>
    </row>
    <row r="1511" spans="2:8" x14ac:dyDescent="0.25">
      <c r="B1511" s="21" t="str" cm="1">
        <f t="array" aca="1" ref="B15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1" s="22" t="str" cm="1">
        <f t="array" aca="1" ref="C15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A1511, "'!C:C")),"NOK"))&gt;0, "NOK", "Pending....")),"")</f>
        <v/>
      </c>
      <c r="D1511" s="24"/>
      <c r="E1511" s="24"/>
      <c r="F1511" s="24"/>
      <c r="G1511" s="29"/>
      <c r="H1511" s="24"/>
    </row>
    <row r="1512" spans="2:8" x14ac:dyDescent="0.25">
      <c r="B1512" s="21" t="str" cm="1">
        <f t="array" aca="1" ref="B15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2" s="22" t="str" cm="1">
        <f t="array" aca="1" ref="C15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A1512, "'!C:C")),"NOK"))&gt;0, "NOK", "Pending....")),"")</f>
        <v/>
      </c>
      <c r="D1512" s="24"/>
      <c r="E1512" s="24"/>
      <c r="F1512" s="24"/>
      <c r="G1512" s="29"/>
      <c r="H1512" s="24"/>
    </row>
    <row r="1513" spans="2:8" x14ac:dyDescent="0.25">
      <c r="B1513" s="21" t="str" cm="1">
        <f t="array" aca="1" ref="B15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3" s="22" t="str" cm="1">
        <f t="array" aca="1" ref="C15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A1513, "'!C:C")),"NOK"))&gt;0, "NOK", "Pending....")),"")</f>
        <v/>
      </c>
      <c r="D1513" s="24"/>
      <c r="E1513" s="24"/>
      <c r="F1513" s="24"/>
      <c r="G1513" s="29"/>
      <c r="H1513" s="24"/>
    </row>
    <row r="1514" spans="2:8" x14ac:dyDescent="0.25">
      <c r="B1514" s="21" t="str" cm="1">
        <f t="array" aca="1" ref="B15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4" s="22" t="str" cm="1">
        <f t="array" aca="1" ref="C15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A1514, "'!C:C")),"NOK"))&gt;0, "NOK", "Pending....")),"")</f>
        <v/>
      </c>
      <c r="D1514" s="24"/>
      <c r="E1514" s="24"/>
      <c r="F1514" s="24"/>
      <c r="G1514" s="29"/>
      <c r="H1514" s="24"/>
    </row>
    <row r="1515" spans="2:8" x14ac:dyDescent="0.25">
      <c r="B1515" s="21" t="str" cm="1">
        <f t="array" aca="1" ref="B15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5" s="22" t="str" cm="1">
        <f t="array" aca="1" ref="C15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A1515, "'!C:C")),"NOK"))&gt;0, "NOK", "Pending....")),"")</f>
        <v/>
      </c>
      <c r="D1515" s="24"/>
      <c r="E1515" s="24"/>
      <c r="F1515" s="24"/>
      <c r="G1515" s="29"/>
      <c r="H1515" s="24"/>
    </row>
    <row r="1516" spans="2:8" x14ac:dyDescent="0.25">
      <c r="B1516" s="21" t="str" cm="1">
        <f t="array" aca="1" ref="B15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6" s="22" t="str" cm="1">
        <f t="array" aca="1" ref="C15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A1516, "'!C:C")),"NOK"))&gt;0, "NOK", "Pending....")),"")</f>
        <v/>
      </c>
      <c r="D1516" s="24"/>
      <c r="E1516" s="24"/>
      <c r="F1516" s="24"/>
      <c r="G1516" s="29"/>
      <c r="H1516" s="24"/>
    </row>
    <row r="1517" spans="2:8" x14ac:dyDescent="0.25">
      <c r="B1517" s="21" t="str" cm="1">
        <f t="array" aca="1" ref="B15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7" s="22" t="str" cm="1">
        <f t="array" aca="1" ref="C15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A1517, "'!C:C")),"NOK"))&gt;0, "NOK", "Pending....")),"")</f>
        <v/>
      </c>
      <c r="D1517" s="24"/>
      <c r="E1517" s="24"/>
      <c r="F1517" s="24"/>
      <c r="G1517" s="29"/>
      <c r="H1517" s="24"/>
    </row>
    <row r="1518" spans="2:8" x14ac:dyDescent="0.25">
      <c r="B1518" s="21" t="str" cm="1">
        <f t="array" aca="1" ref="B15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8" s="22" t="str" cm="1">
        <f t="array" aca="1" ref="C15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A1518, "'!C:C")),"NOK"))&gt;0, "NOK", "Pending....")),"")</f>
        <v/>
      </c>
      <c r="D1518" s="24"/>
      <c r="E1518" s="24"/>
      <c r="F1518" s="24"/>
      <c r="G1518" s="29"/>
      <c r="H1518" s="24"/>
    </row>
    <row r="1519" spans="2:8" x14ac:dyDescent="0.25">
      <c r="B1519" s="21" t="str" cm="1">
        <f t="array" aca="1" ref="B15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19" s="22" t="str" cm="1">
        <f t="array" aca="1" ref="C15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A1519, "'!C:C")),"NOK"))&gt;0, "NOK", "Pending....")),"")</f>
        <v/>
      </c>
      <c r="D1519" s="24"/>
      <c r="E1519" s="24"/>
      <c r="F1519" s="24"/>
      <c r="G1519" s="29"/>
      <c r="H1519" s="24"/>
    </row>
    <row r="1520" spans="2:8" x14ac:dyDescent="0.25">
      <c r="B1520" s="21" t="str" cm="1">
        <f t="array" aca="1" ref="B15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0" s="22" t="str" cm="1">
        <f t="array" aca="1" ref="C15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A1520, "'!C:C")),"NOK"))&gt;0, "NOK", "Pending....")),"")</f>
        <v/>
      </c>
      <c r="D1520" s="24"/>
      <c r="E1520" s="24"/>
      <c r="F1520" s="24"/>
      <c r="G1520" s="29"/>
      <c r="H1520" s="24"/>
    </row>
    <row r="1521" spans="2:8" x14ac:dyDescent="0.25">
      <c r="B1521" s="21" t="str" cm="1">
        <f t="array" aca="1" ref="B15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1" s="22" t="str" cm="1">
        <f t="array" aca="1" ref="C15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A1521, "'!C:C")),"NOK"))&gt;0, "NOK", "Pending....")),"")</f>
        <v/>
      </c>
      <c r="D1521" s="24"/>
      <c r="E1521" s="24"/>
      <c r="F1521" s="24"/>
      <c r="G1521" s="29"/>
      <c r="H1521" s="24"/>
    </row>
    <row r="1522" spans="2:8" x14ac:dyDescent="0.25">
      <c r="B1522" s="21" t="str" cm="1">
        <f t="array" aca="1" ref="B15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2" s="22" t="str" cm="1">
        <f t="array" aca="1" ref="C15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A1522, "'!C:C")),"NOK"))&gt;0, "NOK", "Pending....")),"")</f>
        <v/>
      </c>
      <c r="D1522" s="24"/>
      <c r="E1522" s="24"/>
      <c r="F1522" s="24"/>
      <c r="G1522" s="29"/>
      <c r="H1522" s="24"/>
    </row>
    <row r="1523" spans="2:8" x14ac:dyDescent="0.25">
      <c r="B1523" s="21" t="str" cm="1">
        <f t="array" aca="1" ref="B15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3" s="22" t="str" cm="1">
        <f t="array" aca="1" ref="C15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A1523, "'!C:C")),"NOK"))&gt;0, "NOK", "Pending....")),"")</f>
        <v/>
      </c>
      <c r="D1523" s="24"/>
      <c r="E1523" s="24"/>
      <c r="F1523" s="24"/>
      <c r="G1523" s="29"/>
      <c r="H1523" s="24"/>
    </row>
    <row r="1524" spans="2:8" x14ac:dyDescent="0.25">
      <c r="B1524" s="21" t="str" cm="1">
        <f t="array" aca="1" ref="B15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4" s="22" t="str" cm="1">
        <f t="array" aca="1" ref="C15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A1524, "'!C:C")),"NOK"))&gt;0, "NOK", "Pending....")),"")</f>
        <v/>
      </c>
      <c r="D1524" s="24"/>
      <c r="E1524" s="24"/>
      <c r="F1524" s="24"/>
      <c r="G1524" s="29"/>
      <c r="H1524" s="24"/>
    </row>
    <row r="1525" spans="2:8" x14ac:dyDescent="0.25">
      <c r="B1525" s="21" t="str" cm="1">
        <f t="array" aca="1" ref="B15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5" s="22" t="str" cm="1">
        <f t="array" aca="1" ref="C15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A1525, "'!C:C")),"NOK"))&gt;0, "NOK", "Pending....")),"")</f>
        <v/>
      </c>
      <c r="D1525" s="24"/>
      <c r="E1525" s="24"/>
      <c r="F1525" s="24"/>
      <c r="G1525" s="29"/>
      <c r="H1525" s="24"/>
    </row>
    <row r="1526" spans="2:8" x14ac:dyDescent="0.25">
      <c r="B1526" s="21" t="str" cm="1">
        <f t="array" aca="1" ref="B15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6" s="22" t="str" cm="1">
        <f t="array" aca="1" ref="C15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A1526, "'!C:C")),"NOK"))&gt;0, "NOK", "Pending....")),"")</f>
        <v/>
      </c>
      <c r="D1526" s="24"/>
      <c r="E1526" s="24"/>
      <c r="F1526" s="24"/>
      <c r="G1526" s="29"/>
      <c r="H1526" s="24"/>
    </row>
    <row r="1527" spans="2:8" x14ac:dyDescent="0.25">
      <c r="B1527" s="21" t="str" cm="1">
        <f t="array" aca="1" ref="B15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7" s="22" t="str" cm="1">
        <f t="array" aca="1" ref="C15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A1527, "'!C:C")),"NOK"))&gt;0, "NOK", "Pending....")),"")</f>
        <v/>
      </c>
      <c r="D1527" s="24"/>
      <c r="E1527" s="24"/>
      <c r="F1527" s="24"/>
      <c r="G1527" s="29"/>
      <c r="H1527" s="24"/>
    </row>
    <row r="1528" spans="2:8" x14ac:dyDescent="0.25">
      <c r="B1528" s="21" t="str" cm="1">
        <f t="array" aca="1" ref="B15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8" s="22" t="str" cm="1">
        <f t="array" aca="1" ref="C15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A1528, "'!C:C")),"NOK"))&gt;0, "NOK", "Pending....")),"")</f>
        <v/>
      </c>
      <c r="D1528" s="24"/>
      <c r="E1528" s="24"/>
      <c r="F1528" s="24"/>
      <c r="G1528" s="29"/>
      <c r="H1528" s="24"/>
    </row>
    <row r="1529" spans="2:8" x14ac:dyDescent="0.25">
      <c r="B1529" s="21" t="str" cm="1">
        <f t="array" aca="1" ref="B15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29" s="22" t="str" cm="1">
        <f t="array" aca="1" ref="C15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A1529, "'!C:C")),"NOK"))&gt;0, "NOK", "Pending....")),"")</f>
        <v/>
      </c>
      <c r="D1529" s="24"/>
      <c r="E1529" s="24"/>
      <c r="F1529" s="24"/>
      <c r="G1529" s="29"/>
      <c r="H1529" s="24"/>
    </row>
    <row r="1530" spans="2:8" x14ac:dyDescent="0.25">
      <c r="B1530" s="21" t="str" cm="1">
        <f t="array" aca="1" ref="B15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0" s="22" t="str" cm="1">
        <f t="array" aca="1" ref="C15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A1530, "'!C:C")),"NOK"))&gt;0, "NOK", "Pending....")),"")</f>
        <v/>
      </c>
      <c r="D1530" s="24"/>
      <c r="E1530" s="24"/>
      <c r="F1530" s="24"/>
      <c r="G1530" s="29"/>
      <c r="H1530" s="24"/>
    </row>
    <row r="1531" spans="2:8" x14ac:dyDescent="0.25">
      <c r="B1531" s="21" t="str" cm="1">
        <f t="array" aca="1" ref="B15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1" s="22" t="str" cm="1">
        <f t="array" aca="1" ref="C15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A1531, "'!C:C")),"NOK"))&gt;0, "NOK", "Pending....")),"")</f>
        <v/>
      </c>
      <c r="D1531" s="24"/>
      <c r="E1531" s="24"/>
      <c r="F1531" s="24"/>
      <c r="G1531" s="29"/>
      <c r="H1531" s="24"/>
    </row>
    <row r="1532" spans="2:8" x14ac:dyDescent="0.25">
      <c r="B1532" s="21" t="str" cm="1">
        <f t="array" aca="1" ref="B15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2" s="22" t="str" cm="1">
        <f t="array" aca="1" ref="C15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A1532, "'!C:C")),"NOK"))&gt;0, "NOK", "Pending....")),"")</f>
        <v/>
      </c>
      <c r="D1532" s="24"/>
      <c r="E1532" s="24"/>
      <c r="F1532" s="24"/>
      <c r="G1532" s="29"/>
      <c r="H1532" s="24"/>
    </row>
    <row r="1533" spans="2:8" x14ac:dyDescent="0.25">
      <c r="B1533" s="21" t="str" cm="1">
        <f t="array" aca="1" ref="B15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3" s="22" t="str" cm="1">
        <f t="array" aca="1" ref="C15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A1533, "'!C:C")),"NOK"))&gt;0, "NOK", "Pending....")),"")</f>
        <v/>
      </c>
      <c r="D1533" s="24"/>
      <c r="E1533" s="24"/>
      <c r="F1533" s="24"/>
      <c r="G1533" s="29"/>
      <c r="H1533" s="24"/>
    </row>
    <row r="1534" spans="2:8" x14ac:dyDescent="0.25">
      <c r="B1534" s="21" t="str" cm="1">
        <f t="array" aca="1" ref="B15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4" s="22" t="str" cm="1">
        <f t="array" aca="1" ref="C15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A1534, "'!C:C")),"NOK"))&gt;0, "NOK", "Pending....")),"")</f>
        <v/>
      </c>
      <c r="D1534" s="24"/>
      <c r="E1534" s="24"/>
      <c r="F1534" s="24"/>
      <c r="G1534" s="29"/>
      <c r="H1534" s="24"/>
    </row>
    <row r="1535" spans="2:8" x14ac:dyDescent="0.25">
      <c r="B1535" s="21" t="str" cm="1">
        <f t="array" aca="1" ref="B15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5" s="22" t="str" cm="1">
        <f t="array" aca="1" ref="C15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A1535, "'!C:C")),"NOK"))&gt;0, "NOK", "Pending....")),"")</f>
        <v/>
      </c>
      <c r="D1535" s="24"/>
      <c r="E1535" s="24"/>
      <c r="F1535" s="24"/>
      <c r="G1535" s="29"/>
      <c r="H1535" s="24"/>
    </row>
    <row r="1536" spans="2:8" x14ac:dyDescent="0.25">
      <c r="B1536" s="21" t="str" cm="1">
        <f t="array" aca="1" ref="B15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6" s="22" t="str" cm="1">
        <f t="array" aca="1" ref="C15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A1536, "'!C:C")),"NOK"))&gt;0, "NOK", "Pending....")),"")</f>
        <v/>
      </c>
      <c r="D1536" s="24"/>
      <c r="E1536" s="24"/>
      <c r="F1536" s="24"/>
      <c r="G1536" s="29"/>
      <c r="H1536" s="24"/>
    </row>
    <row r="1537" spans="2:8" x14ac:dyDescent="0.25">
      <c r="B1537" s="21" t="str" cm="1">
        <f t="array" aca="1" ref="B15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7" s="22" t="str" cm="1">
        <f t="array" aca="1" ref="C15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A1537, "'!C:C")),"NOK"))&gt;0, "NOK", "Pending....")),"")</f>
        <v/>
      </c>
      <c r="D1537" s="24"/>
      <c r="E1537" s="24"/>
      <c r="F1537" s="24"/>
      <c r="G1537" s="29"/>
      <c r="H1537" s="24"/>
    </row>
    <row r="1538" spans="2:8" x14ac:dyDescent="0.25">
      <c r="B1538" s="21" t="str" cm="1">
        <f t="array" aca="1" ref="B15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8" s="22" t="str" cm="1">
        <f t="array" aca="1" ref="C15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A1538, "'!C:C")),"NOK"))&gt;0, "NOK", "Pending....")),"")</f>
        <v/>
      </c>
      <c r="D1538" s="24"/>
      <c r="E1538" s="24"/>
      <c r="F1538" s="24"/>
      <c r="G1538" s="29"/>
      <c r="H1538" s="24"/>
    </row>
    <row r="1539" spans="2:8" x14ac:dyDescent="0.25">
      <c r="B1539" s="21" t="str" cm="1">
        <f t="array" aca="1" ref="B15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39" s="22" t="str" cm="1">
        <f t="array" aca="1" ref="C15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A1539, "'!C:C")),"NOK"))&gt;0, "NOK", "Pending....")),"")</f>
        <v/>
      </c>
      <c r="D1539" s="24"/>
      <c r="E1539" s="24"/>
      <c r="F1539" s="24"/>
      <c r="G1539" s="29"/>
      <c r="H1539" s="24"/>
    </row>
    <row r="1540" spans="2:8" x14ac:dyDescent="0.25">
      <c r="B1540" s="21" t="str" cm="1">
        <f t="array" aca="1" ref="B15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0" s="22" t="str" cm="1">
        <f t="array" aca="1" ref="C15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A1540, "'!C:C")),"NOK"))&gt;0, "NOK", "Pending....")),"")</f>
        <v/>
      </c>
      <c r="D1540" s="24"/>
      <c r="E1540" s="24"/>
      <c r="F1540" s="24"/>
      <c r="G1540" s="29"/>
      <c r="H1540" s="24"/>
    </row>
    <row r="1541" spans="2:8" x14ac:dyDescent="0.25">
      <c r="B1541" s="21" t="str" cm="1">
        <f t="array" aca="1" ref="B15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1" s="22" t="str" cm="1">
        <f t="array" aca="1" ref="C15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A1541, "'!C:C")),"NOK"))&gt;0, "NOK", "Pending....")),"")</f>
        <v/>
      </c>
      <c r="D1541" s="24"/>
      <c r="E1541" s="24"/>
      <c r="F1541" s="24"/>
      <c r="G1541" s="29"/>
      <c r="H1541" s="24"/>
    </row>
    <row r="1542" spans="2:8" x14ac:dyDescent="0.25">
      <c r="B1542" s="21" t="str" cm="1">
        <f t="array" aca="1" ref="B15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2" s="22" t="str" cm="1">
        <f t="array" aca="1" ref="C15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A1542, "'!C:C")),"NOK"))&gt;0, "NOK", "Pending....")),"")</f>
        <v/>
      </c>
      <c r="D1542" s="24"/>
      <c r="E1542" s="24"/>
      <c r="F1542" s="24"/>
      <c r="G1542" s="29"/>
      <c r="H1542" s="24"/>
    </row>
    <row r="1543" spans="2:8" x14ac:dyDescent="0.25">
      <c r="B1543" s="21" t="str" cm="1">
        <f t="array" aca="1" ref="B15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3" s="22" t="str" cm="1">
        <f t="array" aca="1" ref="C15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A1543, "'!C:C")),"NOK"))&gt;0, "NOK", "Pending....")),"")</f>
        <v/>
      </c>
      <c r="D1543" s="24"/>
      <c r="E1543" s="24"/>
      <c r="F1543" s="24"/>
      <c r="G1543" s="29"/>
      <c r="H1543" s="24"/>
    </row>
    <row r="1544" spans="2:8" x14ac:dyDescent="0.25">
      <c r="B1544" s="21" t="str" cm="1">
        <f t="array" aca="1" ref="B15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4" s="22" t="str" cm="1">
        <f t="array" aca="1" ref="C15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A1544, "'!C:C")),"NOK"))&gt;0, "NOK", "Pending....")),"")</f>
        <v/>
      </c>
      <c r="D1544" s="24"/>
      <c r="E1544" s="24"/>
      <c r="F1544" s="24"/>
      <c r="G1544" s="29"/>
      <c r="H1544" s="24"/>
    </row>
    <row r="1545" spans="2:8" x14ac:dyDescent="0.25">
      <c r="B1545" s="21" t="str" cm="1">
        <f t="array" aca="1" ref="B15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5" s="22" t="str" cm="1">
        <f t="array" aca="1" ref="C15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A1545, "'!C:C")),"NOK"))&gt;0, "NOK", "Pending....")),"")</f>
        <v/>
      </c>
      <c r="D1545" s="24"/>
      <c r="E1545" s="24"/>
      <c r="F1545" s="24"/>
      <c r="G1545" s="29"/>
      <c r="H1545" s="24"/>
    </row>
    <row r="1546" spans="2:8" x14ac:dyDescent="0.25">
      <c r="B1546" s="21" t="str" cm="1">
        <f t="array" aca="1" ref="B15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6" s="22" t="str" cm="1">
        <f t="array" aca="1" ref="C15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A1546, "'!C:C")),"NOK"))&gt;0, "NOK", "Pending....")),"")</f>
        <v/>
      </c>
      <c r="D1546" s="24"/>
      <c r="E1546" s="24"/>
      <c r="F1546" s="24"/>
      <c r="G1546" s="29"/>
      <c r="H1546" s="24"/>
    </row>
    <row r="1547" spans="2:8" x14ac:dyDescent="0.25">
      <c r="B1547" s="21" t="str" cm="1">
        <f t="array" aca="1" ref="B15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7" s="22" t="str" cm="1">
        <f t="array" aca="1" ref="C15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A1547, "'!C:C")),"NOK"))&gt;0, "NOK", "Pending....")),"")</f>
        <v/>
      </c>
      <c r="D1547" s="24"/>
      <c r="E1547" s="24"/>
      <c r="F1547" s="24"/>
      <c r="G1547" s="29"/>
      <c r="H1547" s="24"/>
    </row>
    <row r="1548" spans="2:8" x14ac:dyDescent="0.25">
      <c r="B1548" s="21" t="str" cm="1">
        <f t="array" aca="1" ref="B15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8" s="22" t="str" cm="1">
        <f t="array" aca="1" ref="C15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A1548, "'!C:C")),"NOK"))&gt;0, "NOK", "Pending....")),"")</f>
        <v/>
      </c>
      <c r="D1548" s="24"/>
      <c r="E1548" s="24"/>
      <c r="F1548" s="24"/>
      <c r="G1548" s="29"/>
      <c r="H1548" s="24"/>
    </row>
    <row r="1549" spans="2:8" x14ac:dyDescent="0.25">
      <c r="B1549" s="21" t="str" cm="1">
        <f t="array" aca="1" ref="B15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49" s="22" t="str" cm="1">
        <f t="array" aca="1" ref="C15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A1549, "'!C:C")),"NOK"))&gt;0, "NOK", "Pending....")),"")</f>
        <v/>
      </c>
      <c r="D1549" s="24"/>
      <c r="E1549" s="24"/>
      <c r="F1549" s="24"/>
      <c r="G1549" s="29"/>
      <c r="H1549" s="24"/>
    </row>
    <row r="1550" spans="2:8" x14ac:dyDescent="0.25">
      <c r="B1550" s="21" t="str" cm="1">
        <f t="array" aca="1" ref="B15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0" s="22" t="str" cm="1">
        <f t="array" aca="1" ref="C15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A1550, "'!C:C")),"NOK"))&gt;0, "NOK", "Pending....")),"")</f>
        <v/>
      </c>
      <c r="D1550" s="24"/>
      <c r="E1550" s="24"/>
      <c r="F1550" s="24"/>
      <c r="G1550" s="29"/>
      <c r="H1550" s="24"/>
    </row>
    <row r="1551" spans="2:8" x14ac:dyDescent="0.25">
      <c r="B1551" s="21" t="str" cm="1">
        <f t="array" aca="1" ref="B15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1" s="22" t="str" cm="1">
        <f t="array" aca="1" ref="C15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A1551, "'!C:C")),"NOK"))&gt;0, "NOK", "Pending....")),"")</f>
        <v/>
      </c>
      <c r="D1551" s="24"/>
      <c r="E1551" s="24"/>
      <c r="F1551" s="24"/>
      <c r="G1551" s="29"/>
      <c r="H1551" s="24"/>
    </row>
    <row r="1552" spans="2:8" x14ac:dyDescent="0.25">
      <c r="B1552" s="21" t="str" cm="1">
        <f t="array" aca="1" ref="B15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2" s="22" t="str" cm="1">
        <f t="array" aca="1" ref="C15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A1552, "'!C:C")),"NOK"))&gt;0, "NOK", "Pending....")),"")</f>
        <v/>
      </c>
      <c r="D1552" s="24"/>
      <c r="E1552" s="24"/>
      <c r="F1552" s="24"/>
      <c r="G1552" s="29"/>
      <c r="H1552" s="24"/>
    </row>
    <row r="1553" spans="2:8" x14ac:dyDescent="0.25">
      <c r="B1553" s="21" t="str" cm="1">
        <f t="array" aca="1" ref="B15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3" s="22" t="str" cm="1">
        <f t="array" aca="1" ref="C15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A1553, "'!C:C")),"NOK"))&gt;0, "NOK", "Pending....")),"")</f>
        <v/>
      </c>
      <c r="D1553" s="24"/>
      <c r="E1553" s="24"/>
      <c r="F1553" s="24"/>
      <c r="G1553" s="29"/>
      <c r="H1553" s="24"/>
    </row>
    <row r="1554" spans="2:8" x14ac:dyDescent="0.25">
      <c r="B1554" s="21" t="str" cm="1">
        <f t="array" aca="1" ref="B15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4" s="22" t="str" cm="1">
        <f t="array" aca="1" ref="C15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A1554, "'!C:C")),"NOK"))&gt;0, "NOK", "Pending....")),"")</f>
        <v/>
      </c>
      <c r="D1554" s="24"/>
      <c r="E1554" s="24"/>
      <c r="F1554" s="24"/>
      <c r="G1554" s="29"/>
      <c r="H1554" s="24"/>
    </row>
    <row r="1555" spans="2:8" x14ac:dyDescent="0.25">
      <c r="B1555" s="21" t="str" cm="1">
        <f t="array" aca="1" ref="B15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5" s="22" t="str" cm="1">
        <f t="array" aca="1" ref="C15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A1555, "'!C:C")),"NOK"))&gt;0, "NOK", "Pending....")),"")</f>
        <v/>
      </c>
      <c r="D1555" s="24"/>
      <c r="E1555" s="24"/>
      <c r="F1555" s="24"/>
      <c r="G1555" s="29"/>
      <c r="H1555" s="24"/>
    </row>
    <row r="1556" spans="2:8" x14ac:dyDescent="0.25">
      <c r="B1556" s="21" t="str" cm="1">
        <f t="array" aca="1" ref="B15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6" s="22" t="str" cm="1">
        <f t="array" aca="1" ref="C15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A1556, "'!C:C")),"NOK"))&gt;0, "NOK", "Pending....")),"")</f>
        <v/>
      </c>
      <c r="D1556" s="24"/>
      <c r="E1556" s="24"/>
      <c r="F1556" s="24"/>
      <c r="G1556" s="29"/>
      <c r="H1556" s="24"/>
    </row>
    <row r="1557" spans="2:8" x14ac:dyDescent="0.25">
      <c r="B1557" s="21" t="str" cm="1">
        <f t="array" aca="1" ref="B15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7" s="22" t="str" cm="1">
        <f t="array" aca="1" ref="C15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A1557, "'!C:C")),"NOK"))&gt;0, "NOK", "Pending....")),"")</f>
        <v/>
      </c>
      <c r="D1557" s="24"/>
      <c r="E1557" s="24"/>
      <c r="F1557" s="24"/>
      <c r="G1557" s="29"/>
      <c r="H1557" s="24"/>
    </row>
    <row r="1558" spans="2:8" x14ac:dyDescent="0.25">
      <c r="B1558" s="21" t="str" cm="1">
        <f t="array" aca="1" ref="B15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8" s="22" t="str" cm="1">
        <f t="array" aca="1" ref="C15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A1558, "'!C:C")),"NOK"))&gt;0, "NOK", "Pending....")),"")</f>
        <v/>
      </c>
      <c r="D1558" s="24"/>
      <c r="E1558" s="24"/>
      <c r="F1558" s="24"/>
      <c r="G1558" s="29"/>
      <c r="H1558" s="24"/>
    </row>
    <row r="1559" spans="2:8" x14ac:dyDescent="0.25">
      <c r="B1559" s="21" t="str" cm="1">
        <f t="array" aca="1" ref="B15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59" s="22" t="str" cm="1">
        <f t="array" aca="1" ref="C15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A1559, "'!C:C")),"NOK"))&gt;0, "NOK", "Pending....")),"")</f>
        <v/>
      </c>
      <c r="D1559" s="24"/>
      <c r="E1559" s="24"/>
      <c r="F1559" s="24"/>
      <c r="G1559" s="29"/>
      <c r="H1559" s="24"/>
    </row>
    <row r="1560" spans="2:8" x14ac:dyDescent="0.25">
      <c r="B1560" s="21" t="str" cm="1">
        <f t="array" aca="1" ref="B15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0" s="22" t="str" cm="1">
        <f t="array" aca="1" ref="C15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A1560, "'!C:C")),"NOK"))&gt;0, "NOK", "Pending....")),"")</f>
        <v/>
      </c>
      <c r="D1560" s="24"/>
      <c r="E1560" s="24"/>
      <c r="F1560" s="24"/>
      <c r="G1560" s="29"/>
      <c r="H1560" s="24"/>
    </row>
    <row r="1561" spans="2:8" x14ac:dyDescent="0.25">
      <c r="B1561" s="21" t="str" cm="1">
        <f t="array" aca="1" ref="B15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1" s="22" t="str" cm="1">
        <f t="array" aca="1" ref="C15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A1561, "'!C:C")),"NOK"))&gt;0, "NOK", "Pending....")),"")</f>
        <v/>
      </c>
      <c r="D1561" s="24"/>
      <c r="E1561" s="24"/>
      <c r="F1561" s="24"/>
      <c r="G1561" s="29"/>
      <c r="H1561" s="24"/>
    </row>
    <row r="1562" spans="2:8" x14ac:dyDescent="0.25">
      <c r="B1562" s="21" t="str" cm="1">
        <f t="array" aca="1" ref="B15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2" s="22" t="str" cm="1">
        <f t="array" aca="1" ref="C15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A1562, "'!C:C")),"NOK"))&gt;0, "NOK", "Pending....")),"")</f>
        <v/>
      </c>
      <c r="D1562" s="24"/>
      <c r="E1562" s="24"/>
      <c r="F1562" s="24"/>
      <c r="G1562" s="29"/>
      <c r="H1562" s="24"/>
    </row>
    <row r="1563" spans="2:8" x14ac:dyDescent="0.25">
      <c r="B1563" s="21" t="str" cm="1">
        <f t="array" aca="1" ref="B15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3" s="22" t="str" cm="1">
        <f t="array" aca="1" ref="C15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A1563, "'!C:C")),"NOK"))&gt;0, "NOK", "Pending....")),"")</f>
        <v/>
      </c>
      <c r="D1563" s="24"/>
      <c r="E1563" s="24"/>
      <c r="F1563" s="24"/>
      <c r="G1563" s="29"/>
      <c r="H1563" s="24"/>
    </row>
    <row r="1564" spans="2:8" x14ac:dyDescent="0.25">
      <c r="B1564" s="21" t="str" cm="1">
        <f t="array" aca="1" ref="B15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4" s="22" t="str" cm="1">
        <f t="array" aca="1" ref="C15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A1564, "'!C:C")),"NOK"))&gt;0, "NOK", "Pending....")),"")</f>
        <v/>
      </c>
      <c r="D1564" s="24"/>
      <c r="E1564" s="24"/>
      <c r="F1564" s="24"/>
      <c r="G1564" s="29"/>
      <c r="H1564" s="24"/>
    </row>
    <row r="1565" spans="2:8" x14ac:dyDescent="0.25">
      <c r="B1565" s="21" t="str" cm="1">
        <f t="array" aca="1" ref="B15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5" s="22" t="str" cm="1">
        <f t="array" aca="1" ref="C15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A1565, "'!C:C")),"NOK"))&gt;0, "NOK", "Pending....")),"")</f>
        <v/>
      </c>
      <c r="D1565" s="24"/>
      <c r="E1565" s="24"/>
      <c r="F1565" s="24"/>
      <c r="G1565" s="29"/>
      <c r="H1565" s="24"/>
    </row>
    <row r="1566" spans="2:8" x14ac:dyDescent="0.25">
      <c r="B1566" s="21" t="str" cm="1">
        <f t="array" aca="1" ref="B15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6" s="22" t="str" cm="1">
        <f t="array" aca="1" ref="C15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A1566, "'!C:C")),"NOK"))&gt;0, "NOK", "Pending....")),"")</f>
        <v/>
      </c>
      <c r="D1566" s="24"/>
      <c r="E1566" s="24"/>
      <c r="F1566" s="24"/>
      <c r="G1566" s="29"/>
      <c r="H1566" s="24"/>
    </row>
    <row r="1567" spans="2:8" x14ac:dyDescent="0.25">
      <c r="B1567" s="21" t="str" cm="1">
        <f t="array" aca="1" ref="B15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7" s="22" t="str" cm="1">
        <f t="array" aca="1" ref="C15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A1567, "'!C:C")),"NOK"))&gt;0, "NOK", "Pending....")),"")</f>
        <v/>
      </c>
      <c r="D1567" s="24"/>
      <c r="E1567" s="24"/>
      <c r="F1567" s="24"/>
      <c r="G1567" s="29"/>
      <c r="H1567" s="24"/>
    </row>
    <row r="1568" spans="2:8" x14ac:dyDescent="0.25">
      <c r="B1568" s="21" t="str" cm="1">
        <f t="array" aca="1" ref="B15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8" s="22" t="str" cm="1">
        <f t="array" aca="1" ref="C15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A1568, "'!C:C")),"NOK"))&gt;0, "NOK", "Pending....")),"")</f>
        <v/>
      </c>
      <c r="D1568" s="24"/>
      <c r="E1568" s="24"/>
      <c r="F1568" s="24"/>
      <c r="G1568" s="29"/>
      <c r="H1568" s="24"/>
    </row>
    <row r="1569" spans="2:8" x14ac:dyDescent="0.25">
      <c r="B1569" s="21" t="str" cm="1">
        <f t="array" aca="1" ref="B15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69" s="22" t="str" cm="1">
        <f t="array" aca="1" ref="C15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A1569, "'!C:C")),"NOK"))&gt;0, "NOK", "Pending....")),"")</f>
        <v/>
      </c>
      <c r="D1569" s="24"/>
      <c r="E1569" s="24"/>
      <c r="F1569" s="24"/>
      <c r="G1569" s="29"/>
      <c r="H1569" s="24"/>
    </row>
    <row r="1570" spans="2:8" x14ac:dyDescent="0.25">
      <c r="B1570" s="21" t="str" cm="1">
        <f t="array" aca="1" ref="B15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0" s="22" t="str" cm="1">
        <f t="array" aca="1" ref="C15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A1570, "'!C:C")),"NOK"))&gt;0, "NOK", "Pending....")),"")</f>
        <v/>
      </c>
      <c r="D1570" s="24"/>
      <c r="E1570" s="24"/>
      <c r="F1570" s="24"/>
      <c r="G1570" s="29"/>
      <c r="H1570" s="24"/>
    </row>
    <row r="1571" spans="2:8" x14ac:dyDescent="0.25">
      <c r="B1571" s="21" t="str" cm="1">
        <f t="array" aca="1" ref="B15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1" s="22" t="str" cm="1">
        <f t="array" aca="1" ref="C15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A1571, "'!C:C")),"NOK"))&gt;0, "NOK", "Pending....")),"")</f>
        <v/>
      </c>
      <c r="D1571" s="24"/>
      <c r="E1571" s="24"/>
      <c r="F1571" s="24"/>
      <c r="G1571" s="29"/>
      <c r="H1571" s="24"/>
    </row>
    <row r="1572" spans="2:8" x14ac:dyDescent="0.25">
      <c r="B1572" s="21" t="str" cm="1">
        <f t="array" aca="1" ref="B15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2" s="22" t="str" cm="1">
        <f t="array" aca="1" ref="C15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A1572, "'!C:C")),"NOK"))&gt;0, "NOK", "Pending....")),"")</f>
        <v/>
      </c>
      <c r="D1572" s="24"/>
      <c r="E1572" s="24"/>
      <c r="F1572" s="24"/>
      <c r="G1572" s="29"/>
      <c r="H1572" s="24"/>
    </row>
    <row r="1573" spans="2:8" x14ac:dyDescent="0.25">
      <c r="B1573" s="21" t="str" cm="1">
        <f t="array" aca="1" ref="B15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3" s="22" t="str" cm="1">
        <f t="array" aca="1" ref="C15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A1573, "'!C:C")),"NOK"))&gt;0, "NOK", "Pending....")),"")</f>
        <v/>
      </c>
      <c r="D1573" s="24"/>
      <c r="E1573" s="24"/>
      <c r="F1573" s="24"/>
      <c r="G1573" s="29"/>
      <c r="H1573" s="24"/>
    </row>
    <row r="1574" spans="2:8" x14ac:dyDescent="0.25">
      <c r="B1574" s="21" t="str" cm="1">
        <f t="array" aca="1" ref="B15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4" s="22" t="str" cm="1">
        <f t="array" aca="1" ref="C15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A1574, "'!C:C")),"NOK"))&gt;0, "NOK", "Pending....")),"")</f>
        <v/>
      </c>
      <c r="D1574" s="24"/>
      <c r="E1574" s="24"/>
      <c r="F1574" s="24"/>
      <c r="G1574" s="29"/>
      <c r="H1574" s="24"/>
    </row>
    <row r="1575" spans="2:8" x14ac:dyDescent="0.25">
      <c r="B1575" s="21" t="str" cm="1">
        <f t="array" aca="1" ref="B15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5" s="22" t="str" cm="1">
        <f t="array" aca="1" ref="C15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A1575, "'!C:C")),"NOK"))&gt;0, "NOK", "Pending....")),"")</f>
        <v/>
      </c>
      <c r="D1575" s="24"/>
      <c r="E1575" s="24"/>
      <c r="F1575" s="24"/>
      <c r="G1575" s="29"/>
      <c r="H1575" s="24"/>
    </row>
    <row r="1576" spans="2:8" x14ac:dyDescent="0.25">
      <c r="B1576" s="21" t="str" cm="1">
        <f t="array" aca="1" ref="B15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6" s="22" t="str" cm="1">
        <f t="array" aca="1" ref="C15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A1576, "'!C:C")),"NOK"))&gt;0, "NOK", "Pending....")),"")</f>
        <v/>
      </c>
      <c r="D1576" s="24"/>
      <c r="E1576" s="24"/>
      <c r="F1576" s="24"/>
      <c r="G1576" s="29"/>
      <c r="H1576" s="24"/>
    </row>
    <row r="1577" spans="2:8" x14ac:dyDescent="0.25">
      <c r="B1577" s="21" t="str" cm="1">
        <f t="array" aca="1" ref="B15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7" s="22" t="str" cm="1">
        <f t="array" aca="1" ref="C15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A1577, "'!C:C")),"NOK"))&gt;0, "NOK", "Pending....")),"")</f>
        <v/>
      </c>
      <c r="D1577" s="24"/>
      <c r="E1577" s="24"/>
      <c r="F1577" s="24"/>
      <c r="G1577" s="29"/>
      <c r="H1577" s="24"/>
    </row>
    <row r="1578" spans="2:8" x14ac:dyDescent="0.25">
      <c r="B1578" s="21" t="str" cm="1">
        <f t="array" aca="1" ref="B15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8" s="22" t="str" cm="1">
        <f t="array" aca="1" ref="C15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A1578, "'!C:C")),"NOK"))&gt;0, "NOK", "Pending....")),"")</f>
        <v/>
      </c>
      <c r="D1578" s="24"/>
      <c r="E1578" s="24"/>
      <c r="F1578" s="24"/>
      <c r="G1578" s="29"/>
      <c r="H1578" s="24"/>
    </row>
    <row r="1579" spans="2:8" x14ac:dyDescent="0.25">
      <c r="B1579" s="21" t="str" cm="1">
        <f t="array" aca="1" ref="B15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79" s="22" t="str" cm="1">
        <f t="array" aca="1" ref="C15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A1579, "'!C:C")),"NOK"))&gt;0, "NOK", "Pending....")),"")</f>
        <v/>
      </c>
      <c r="D1579" s="24"/>
      <c r="E1579" s="24"/>
      <c r="F1579" s="24"/>
      <c r="G1579" s="29"/>
      <c r="H1579" s="24"/>
    </row>
    <row r="1580" spans="2:8" x14ac:dyDescent="0.25">
      <c r="B1580" s="21" t="str" cm="1">
        <f t="array" aca="1" ref="B15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0" s="22" t="str" cm="1">
        <f t="array" aca="1" ref="C15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A1580, "'!C:C")),"NOK"))&gt;0, "NOK", "Pending....")),"")</f>
        <v/>
      </c>
      <c r="D1580" s="24"/>
      <c r="E1580" s="24"/>
      <c r="F1580" s="24"/>
      <c r="G1580" s="29"/>
      <c r="H1580" s="24"/>
    </row>
    <row r="1581" spans="2:8" x14ac:dyDescent="0.25">
      <c r="B1581" s="21" t="str" cm="1">
        <f t="array" aca="1" ref="B15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1" s="22" t="str" cm="1">
        <f t="array" aca="1" ref="C15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A1581, "'!C:C")),"NOK"))&gt;0, "NOK", "Pending....")),"")</f>
        <v/>
      </c>
      <c r="D1581" s="24"/>
      <c r="E1581" s="24"/>
      <c r="F1581" s="24"/>
      <c r="G1581" s="29"/>
      <c r="H1581" s="24"/>
    </row>
    <row r="1582" spans="2:8" x14ac:dyDescent="0.25">
      <c r="B1582" s="21" t="str" cm="1">
        <f t="array" aca="1" ref="B15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2" s="22" t="str" cm="1">
        <f t="array" aca="1" ref="C15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A1582, "'!C:C")),"NOK"))&gt;0, "NOK", "Pending....")),"")</f>
        <v/>
      </c>
      <c r="D1582" s="24"/>
      <c r="E1582" s="24"/>
      <c r="F1582" s="24"/>
      <c r="G1582" s="29"/>
      <c r="H1582" s="24"/>
    </row>
    <row r="1583" spans="2:8" x14ac:dyDescent="0.25">
      <c r="B1583" s="21" t="str" cm="1">
        <f t="array" aca="1" ref="B15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3" s="22" t="str" cm="1">
        <f t="array" aca="1" ref="C15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A1583, "'!C:C")),"NOK"))&gt;0, "NOK", "Pending....")),"")</f>
        <v/>
      </c>
      <c r="D1583" s="24"/>
      <c r="E1583" s="24"/>
      <c r="F1583" s="24"/>
      <c r="G1583" s="29"/>
      <c r="H1583" s="24"/>
    </row>
    <row r="1584" spans="2:8" x14ac:dyDescent="0.25">
      <c r="B1584" s="21" t="str" cm="1">
        <f t="array" aca="1" ref="B15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4" s="22" t="str" cm="1">
        <f t="array" aca="1" ref="C15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A1584, "'!C:C")),"NOK"))&gt;0, "NOK", "Pending....")),"")</f>
        <v/>
      </c>
      <c r="D1584" s="24"/>
      <c r="E1584" s="24"/>
      <c r="F1584" s="24"/>
      <c r="G1584" s="29"/>
      <c r="H1584" s="24"/>
    </row>
    <row r="1585" spans="2:8" x14ac:dyDescent="0.25">
      <c r="B1585" s="21" t="str" cm="1">
        <f t="array" aca="1" ref="B15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5" s="22" t="str" cm="1">
        <f t="array" aca="1" ref="C15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A1585, "'!C:C")),"NOK"))&gt;0, "NOK", "Pending....")),"")</f>
        <v/>
      </c>
      <c r="D1585" s="24"/>
      <c r="E1585" s="24"/>
      <c r="F1585" s="24"/>
      <c r="G1585" s="29"/>
      <c r="H1585" s="24"/>
    </row>
    <row r="1586" spans="2:8" x14ac:dyDescent="0.25">
      <c r="B1586" s="21" t="str" cm="1">
        <f t="array" aca="1" ref="B15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6" s="22" t="str" cm="1">
        <f t="array" aca="1" ref="C15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A1586, "'!C:C")),"NOK"))&gt;0, "NOK", "Pending....")),"")</f>
        <v/>
      </c>
      <c r="D1586" s="24"/>
      <c r="E1586" s="24"/>
      <c r="F1586" s="24"/>
      <c r="G1586" s="29"/>
      <c r="H1586" s="24"/>
    </row>
    <row r="1587" spans="2:8" x14ac:dyDescent="0.25">
      <c r="B1587" s="21" t="str" cm="1">
        <f t="array" aca="1" ref="B15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7" s="22" t="str" cm="1">
        <f t="array" aca="1" ref="C15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A1587, "'!C:C")),"NOK"))&gt;0, "NOK", "Pending....")),"")</f>
        <v/>
      </c>
      <c r="D1587" s="24"/>
      <c r="E1587" s="24"/>
      <c r="F1587" s="24"/>
      <c r="G1587" s="29"/>
      <c r="H1587" s="24"/>
    </row>
    <row r="1588" spans="2:8" x14ac:dyDescent="0.25">
      <c r="B1588" s="21" t="str" cm="1">
        <f t="array" aca="1" ref="B15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8" s="22" t="str" cm="1">
        <f t="array" aca="1" ref="C15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A1588, "'!C:C")),"NOK"))&gt;0, "NOK", "Pending....")),"")</f>
        <v/>
      </c>
      <c r="D1588" s="24"/>
      <c r="E1588" s="24"/>
      <c r="F1588" s="24"/>
      <c r="G1588" s="29"/>
      <c r="H1588" s="24"/>
    </row>
    <row r="1589" spans="2:8" x14ac:dyDescent="0.25">
      <c r="B1589" s="21" t="str" cm="1">
        <f t="array" aca="1" ref="B15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89" s="22" t="str" cm="1">
        <f t="array" aca="1" ref="C15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A1589, "'!C:C")),"NOK"))&gt;0, "NOK", "Pending....")),"")</f>
        <v/>
      </c>
      <c r="D1589" s="24"/>
      <c r="E1589" s="24"/>
      <c r="F1589" s="24"/>
      <c r="G1589" s="29"/>
      <c r="H1589" s="24"/>
    </row>
    <row r="1590" spans="2:8" x14ac:dyDescent="0.25">
      <c r="B1590" s="21" t="str" cm="1">
        <f t="array" aca="1" ref="B15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0" s="22" t="str" cm="1">
        <f t="array" aca="1" ref="C15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A1590, "'!C:C")),"NOK"))&gt;0, "NOK", "Pending....")),"")</f>
        <v/>
      </c>
      <c r="D1590" s="24"/>
      <c r="E1590" s="24"/>
      <c r="F1590" s="24"/>
      <c r="G1590" s="29"/>
      <c r="H1590" s="24"/>
    </row>
    <row r="1591" spans="2:8" x14ac:dyDescent="0.25">
      <c r="B1591" s="21" t="str" cm="1">
        <f t="array" aca="1" ref="B15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1" s="22" t="str" cm="1">
        <f t="array" aca="1" ref="C15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A1591, "'!C:C")),"NOK"))&gt;0, "NOK", "Pending....")),"")</f>
        <v/>
      </c>
      <c r="D1591" s="24"/>
      <c r="E1591" s="24"/>
      <c r="F1591" s="24"/>
      <c r="G1591" s="29"/>
      <c r="H1591" s="24"/>
    </row>
    <row r="1592" spans="2:8" x14ac:dyDescent="0.25">
      <c r="B1592" s="21" t="str" cm="1">
        <f t="array" aca="1" ref="B15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2" s="22" t="str" cm="1">
        <f t="array" aca="1" ref="C15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A1592, "'!C:C")),"NOK"))&gt;0, "NOK", "Pending....")),"")</f>
        <v/>
      </c>
      <c r="D1592" s="24"/>
      <c r="E1592" s="24"/>
      <c r="F1592" s="24"/>
      <c r="G1592" s="29"/>
      <c r="H1592" s="24"/>
    </row>
    <row r="1593" spans="2:8" x14ac:dyDescent="0.25">
      <c r="B1593" s="21" t="str" cm="1">
        <f t="array" aca="1" ref="B15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3" s="22" t="str" cm="1">
        <f t="array" aca="1" ref="C15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A1593, "'!C:C")),"NOK"))&gt;0, "NOK", "Pending....")),"")</f>
        <v/>
      </c>
      <c r="D1593" s="24"/>
      <c r="E1593" s="24"/>
      <c r="F1593" s="24"/>
      <c r="G1593" s="29"/>
      <c r="H1593" s="24"/>
    </row>
    <row r="1594" spans="2:8" x14ac:dyDescent="0.25">
      <c r="B1594" s="21" t="str" cm="1">
        <f t="array" aca="1" ref="B15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4" s="22" t="str" cm="1">
        <f t="array" aca="1" ref="C15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A1594, "'!C:C")),"NOK"))&gt;0, "NOK", "Pending....")),"")</f>
        <v/>
      </c>
      <c r="D1594" s="24"/>
      <c r="E1594" s="24"/>
      <c r="F1594" s="24"/>
      <c r="G1594" s="29"/>
      <c r="H1594" s="24"/>
    </row>
    <row r="1595" spans="2:8" x14ac:dyDescent="0.25">
      <c r="B1595" s="21" t="str" cm="1">
        <f t="array" aca="1" ref="B15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5" s="22" t="str" cm="1">
        <f t="array" aca="1" ref="C15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A1595, "'!C:C")),"NOK"))&gt;0, "NOK", "Pending....")),"")</f>
        <v/>
      </c>
      <c r="D1595" s="24"/>
      <c r="E1595" s="24"/>
      <c r="F1595" s="24"/>
      <c r="G1595" s="29"/>
      <c r="H1595" s="24"/>
    </row>
    <row r="1596" spans="2:8" x14ac:dyDescent="0.25">
      <c r="B1596" s="21" t="str" cm="1">
        <f t="array" aca="1" ref="B15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6" s="22" t="str" cm="1">
        <f t="array" aca="1" ref="C15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A1596, "'!C:C")),"NOK"))&gt;0, "NOK", "Pending....")),"")</f>
        <v/>
      </c>
      <c r="D1596" s="24"/>
      <c r="E1596" s="24"/>
      <c r="F1596" s="24"/>
      <c r="G1596" s="29"/>
      <c r="H1596" s="24"/>
    </row>
    <row r="1597" spans="2:8" x14ac:dyDescent="0.25">
      <c r="B1597" s="21" t="str" cm="1">
        <f t="array" aca="1" ref="B15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7" s="22" t="str" cm="1">
        <f t="array" aca="1" ref="C15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A1597, "'!C:C")),"NOK"))&gt;0, "NOK", "Pending....")),"")</f>
        <v/>
      </c>
      <c r="D1597" s="24"/>
      <c r="E1597" s="24"/>
      <c r="F1597" s="24"/>
      <c r="G1597" s="29"/>
      <c r="H1597" s="24"/>
    </row>
    <row r="1598" spans="2:8" x14ac:dyDescent="0.25">
      <c r="B1598" s="21" t="str" cm="1">
        <f t="array" aca="1" ref="B15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8" s="22" t="str" cm="1">
        <f t="array" aca="1" ref="C15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A1598, "'!C:C")),"NOK"))&gt;0, "NOK", "Pending....")),"")</f>
        <v/>
      </c>
      <c r="D1598" s="24"/>
      <c r="E1598" s="24"/>
      <c r="F1598" s="24"/>
      <c r="G1598" s="29"/>
      <c r="H1598" s="24"/>
    </row>
    <row r="1599" spans="2:8" x14ac:dyDescent="0.25">
      <c r="B1599" s="21" t="str" cm="1">
        <f t="array" aca="1" ref="B15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599" s="22" t="str" cm="1">
        <f t="array" aca="1" ref="C15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A1599, "'!C:C")),"NOK"))&gt;0, "NOK", "Pending....")),"")</f>
        <v/>
      </c>
      <c r="D1599" s="24"/>
      <c r="E1599" s="24"/>
      <c r="F1599" s="24"/>
      <c r="G1599" s="29"/>
      <c r="H1599" s="24"/>
    </row>
    <row r="1600" spans="2:8" x14ac:dyDescent="0.25">
      <c r="B1600" s="21" t="str" cm="1">
        <f t="array" aca="1" ref="B16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0" s="22" t="str" cm="1">
        <f t="array" aca="1" ref="C16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A1600, "'!C:C")),"NOK"))&gt;0, "NOK", "Pending....")),"")</f>
        <v/>
      </c>
      <c r="D1600" s="24"/>
      <c r="E1600" s="24"/>
      <c r="F1600" s="24"/>
      <c r="G1600" s="29"/>
      <c r="H1600" s="24"/>
    </row>
    <row r="1601" spans="2:8" x14ac:dyDescent="0.25">
      <c r="B1601" s="21" t="str" cm="1">
        <f t="array" aca="1" ref="B16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1" s="22" t="str" cm="1">
        <f t="array" aca="1" ref="C16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A1601, "'!C:C")),"NOK"))&gt;0, "NOK", "Pending....")),"")</f>
        <v/>
      </c>
      <c r="D1601" s="24"/>
      <c r="E1601" s="24"/>
      <c r="F1601" s="24"/>
      <c r="G1601" s="29"/>
      <c r="H1601" s="24"/>
    </row>
    <row r="1602" spans="2:8" x14ac:dyDescent="0.25">
      <c r="B1602" s="21" t="str" cm="1">
        <f t="array" aca="1" ref="B16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2" s="22" t="str" cm="1">
        <f t="array" aca="1" ref="C16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A1602, "'!C:C")),"NOK"))&gt;0, "NOK", "Pending....")),"")</f>
        <v/>
      </c>
      <c r="D1602" s="24"/>
      <c r="E1602" s="24"/>
      <c r="F1602" s="24"/>
      <c r="G1602" s="29"/>
      <c r="H1602" s="24"/>
    </row>
    <row r="1603" spans="2:8" x14ac:dyDescent="0.25">
      <c r="B1603" s="21" t="str" cm="1">
        <f t="array" aca="1" ref="B16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3" s="22" t="str" cm="1">
        <f t="array" aca="1" ref="C16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A1603, "'!C:C")),"NOK"))&gt;0, "NOK", "Pending....")),"")</f>
        <v/>
      </c>
      <c r="D1603" s="24"/>
      <c r="E1603" s="24"/>
      <c r="F1603" s="24"/>
      <c r="G1603" s="29"/>
      <c r="H1603" s="24"/>
    </row>
    <row r="1604" spans="2:8" x14ac:dyDescent="0.25">
      <c r="B1604" s="21" t="str" cm="1">
        <f t="array" aca="1" ref="B16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4" s="22" t="str" cm="1">
        <f t="array" aca="1" ref="C16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A1604, "'!C:C")),"NOK"))&gt;0, "NOK", "Pending....")),"")</f>
        <v/>
      </c>
      <c r="D1604" s="24"/>
      <c r="E1604" s="24"/>
      <c r="F1604" s="24"/>
      <c r="G1604" s="29"/>
      <c r="H1604" s="24"/>
    </row>
    <row r="1605" spans="2:8" x14ac:dyDescent="0.25">
      <c r="B1605" s="21" t="str" cm="1">
        <f t="array" aca="1" ref="B16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5" s="22" t="str" cm="1">
        <f t="array" aca="1" ref="C16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A1605, "'!C:C")),"NOK"))&gt;0, "NOK", "Pending....")),"")</f>
        <v/>
      </c>
      <c r="D1605" s="24"/>
      <c r="E1605" s="24"/>
      <c r="F1605" s="24"/>
      <c r="G1605" s="29"/>
      <c r="H1605" s="24"/>
    </row>
    <row r="1606" spans="2:8" x14ac:dyDescent="0.25">
      <c r="B1606" s="21" t="str" cm="1">
        <f t="array" aca="1" ref="B16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6" s="22" t="str" cm="1">
        <f t="array" aca="1" ref="C16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A1606, "'!C:C")),"NOK"))&gt;0, "NOK", "Pending....")),"")</f>
        <v/>
      </c>
      <c r="D1606" s="24"/>
      <c r="E1606" s="24"/>
      <c r="F1606" s="24"/>
      <c r="G1606" s="29"/>
      <c r="H1606" s="24"/>
    </row>
    <row r="1607" spans="2:8" x14ac:dyDescent="0.25">
      <c r="B1607" s="21" t="str" cm="1">
        <f t="array" aca="1" ref="B16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7" s="22" t="str" cm="1">
        <f t="array" aca="1" ref="C16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A1607, "'!C:C")),"NOK"))&gt;0, "NOK", "Pending....")),"")</f>
        <v/>
      </c>
      <c r="D1607" s="24"/>
      <c r="E1607" s="24"/>
      <c r="F1607" s="24"/>
      <c r="G1607" s="29"/>
      <c r="H1607" s="24"/>
    </row>
    <row r="1608" spans="2:8" x14ac:dyDescent="0.25">
      <c r="B1608" s="21" t="str" cm="1">
        <f t="array" aca="1" ref="B16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8" s="22" t="str" cm="1">
        <f t="array" aca="1" ref="C16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A1608, "'!C:C")),"NOK"))&gt;0, "NOK", "Pending....")),"")</f>
        <v/>
      </c>
      <c r="D1608" s="24"/>
      <c r="E1608" s="24"/>
      <c r="F1608" s="24"/>
      <c r="G1608" s="29"/>
      <c r="H1608" s="24"/>
    </row>
    <row r="1609" spans="2:8" x14ac:dyDescent="0.25">
      <c r="B1609" s="21" t="str" cm="1">
        <f t="array" aca="1" ref="B16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09" s="22" t="str" cm="1">
        <f t="array" aca="1" ref="C16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A1609, "'!C:C")),"NOK"))&gt;0, "NOK", "Pending....")),"")</f>
        <v/>
      </c>
      <c r="D1609" s="24"/>
      <c r="E1609" s="24"/>
      <c r="F1609" s="24"/>
      <c r="G1609" s="29"/>
      <c r="H1609" s="24"/>
    </row>
    <row r="1610" spans="2:8" x14ac:dyDescent="0.25">
      <c r="B1610" s="21" t="str" cm="1">
        <f t="array" aca="1" ref="B16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0" s="22" t="str" cm="1">
        <f t="array" aca="1" ref="C16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A1610, "'!C:C")),"NOK"))&gt;0, "NOK", "Pending....")),"")</f>
        <v/>
      </c>
      <c r="D1610" s="24"/>
      <c r="E1610" s="24"/>
      <c r="F1610" s="24"/>
      <c r="G1610" s="29"/>
      <c r="H1610" s="24"/>
    </row>
    <row r="1611" spans="2:8" x14ac:dyDescent="0.25">
      <c r="B1611" s="21" t="str" cm="1">
        <f t="array" aca="1" ref="B16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1" s="22" t="str" cm="1">
        <f t="array" aca="1" ref="C16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A1611, "'!C:C")),"NOK"))&gt;0, "NOK", "Pending....")),"")</f>
        <v/>
      </c>
      <c r="D1611" s="24"/>
      <c r="E1611" s="24"/>
      <c r="F1611" s="24"/>
      <c r="G1611" s="29"/>
      <c r="H1611" s="24"/>
    </row>
    <row r="1612" spans="2:8" x14ac:dyDescent="0.25">
      <c r="B1612" s="21" t="str" cm="1">
        <f t="array" aca="1" ref="B16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2" s="22" t="str" cm="1">
        <f t="array" aca="1" ref="C16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A1612, "'!C:C")),"NOK"))&gt;0, "NOK", "Pending....")),"")</f>
        <v/>
      </c>
      <c r="D1612" s="24"/>
      <c r="E1612" s="24"/>
      <c r="F1612" s="24"/>
      <c r="G1612" s="29"/>
      <c r="H1612" s="24"/>
    </row>
    <row r="1613" spans="2:8" x14ac:dyDescent="0.25">
      <c r="B1613" s="21" t="str" cm="1">
        <f t="array" aca="1" ref="B16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3" s="22" t="str" cm="1">
        <f t="array" aca="1" ref="C16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A1613, "'!C:C")),"NOK"))&gt;0, "NOK", "Pending....")),"")</f>
        <v/>
      </c>
      <c r="D1613" s="24"/>
      <c r="E1613" s="24"/>
      <c r="F1613" s="24"/>
      <c r="G1613" s="29"/>
      <c r="H1613" s="24"/>
    </row>
    <row r="1614" spans="2:8" x14ac:dyDescent="0.25">
      <c r="B1614" s="21" t="str" cm="1">
        <f t="array" aca="1" ref="B16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4" s="22" t="str" cm="1">
        <f t="array" aca="1" ref="C16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A1614, "'!C:C")),"NOK"))&gt;0, "NOK", "Pending....")),"")</f>
        <v/>
      </c>
      <c r="D1614" s="24"/>
      <c r="E1614" s="24"/>
      <c r="F1614" s="24"/>
      <c r="G1614" s="29"/>
      <c r="H1614" s="24"/>
    </row>
    <row r="1615" spans="2:8" x14ac:dyDescent="0.25">
      <c r="B1615" s="21" t="str" cm="1">
        <f t="array" aca="1" ref="B16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5" s="22" t="str" cm="1">
        <f t="array" aca="1" ref="C16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A1615, "'!C:C")),"NOK"))&gt;0, "NOK", "Pending....")),"")</f>
        <v/>
      </c>
      <c r="D1615" s="24"/>
      <c r="E1615" s="24"/>
      <c r="F1615" s="24"/>
      <c r="G1615" s="29"/>
      <c r="H1615" s="24"/>
    </row>
    <row r="1616" spans="2:8" x14ac:dyDescent="0.25">
      <c r="B1616" s="21" t="str" cm="1">
        <f t="array" aca="1" ref="B16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6" s="22" t="str" cm="1">
        <f t="array" aca="1" ref="C16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A1616, "'!C:C")),"NOK"))&gt;0, "NOK", "Pending....")),"")</f>
        <v/>
      </c>
      <c r="D1616" s="24"/>
      <c r="E1616" s="24"/>
      <c r="F1616" s="24"/>
      <c r="G1616" s="29"/>
      <c r="H1616" s="24"/>
    </row>
    <row r="1617" spans="2:8" x14ac:dyDescent="0.25">
      <c r="B1617" s="21" t="str" cm="1">
        <f t="array" aca="1" ref="B16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7" s="22" t="str" cm="1">
        <f t="array" aca="1" ref="C16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A1617, "'!C:C")),"NOK"))&gt;0, "NOK", "Pending....")),"")</f>
        <v/>
      </c>
      <c r="D1617" s="24"/>
      <c r="E1617" s="24"/>
      <c r="F1617" s="24"/>
      <c r="G1617" s="29"/>
      <c r="H1617" s="24"/>
    </row>
    <row r="1618" spans="2:8" x14ac:dyDescent="0.25">
      <c r="B1618" s="21" t="str" cm="1">
        <f t="array" aca="1" ref="B16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8" s="22" t="str" cm="1">
        <f t="array" aca="1" ref="C16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A1618, "'!C:C")),"NOK"))&gt;0, "NOK", "Pending....")),"")</f>
        <v/>
      </c>
      <c r="D1618" s="24"/>
      <c r="E1618" s="24"/>
      <c r="F1618" s="24"/>
      <c r="G1618" s="29"/>
      <c r="H1618" s="24"/>
    </row>
    <row r="1619" spans="2:8" x14ac:dyDescent="0.25">
      <c r="B1619" s="21" t="str" cm="1">
        <f t="array" aca="1" ref="B16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19" s="22" t="str" cm="1">
        <f t="array" aca="1" ref="C16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A1619, "'!C:C")),"NOK"))&gt;0, "NOK", "Pending....")),"")</f>
        <v/>
      </c>
      <c r="D1619" s="24"/>
      <c r="E1619" s="24"/>
      <c r="F1619" s="24"/>
      <c r="G1619" s="29"/>
      <c r="H1619" s="24"/>
    </row>
    <row r="1620" spans="2:8" x14ac:dyDescent="0.25">
      <c r="B1620" s="21" t="str" cm="1">
        <f t="array" aca="1" ref="B16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0" s="22" t="str" cm="1">
        <f t="array" aca="1" ref="C16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A1620, "'!C:C")),"NOK"))&gt;0, "NOK", "Pending....")),"")</f>
        <v/>
      </c>
      <c r="D1620" s="24"/>
      <c r="E1620" s="24"/>
      <c r="F1620" s="24"/>
      <c r="G1620" s="29"/>
      <c r="H1620" s="24"/>
    </row>
    <row r="1621" spans="2:8" x14ac:dyDescent="0.25">
      <c r="B1621" s="21" t="str" cm="1">
        <f t="array" aca="1" ref="B16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1" s="22" t="str" cm="1">
        <f t="array" aca="1" ref="C16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A1621, "'!C:C")),"NOK"))&gt;0, "NOK", "Pending....")),"")</f>
        <v/>
      </c>
      <c r="D1621" s="24"/>
      <c r="E1621" s="24"/>
      <c r="F1621" s="24"/>
      <c r="G1621" s="29"/>
      <c r="H1621" s="24"/>
    </row>
    <row r="1622" spans="2:8" x14ac:dyDescent="0.25">
      <c r="B1622" s="21" t="str" cm="1">
        <f t="array" aca="1" ref="B16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2" s="22" t="str" cm="1">
        <f t="array" aca="1" ref="C16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A1622, "'!C:C")),"NOK"))&gt;0, "NOK", "Pending....")),"")</f>
        <v/>
      </c>
      <c r="D1622" s="24"/>
      <c r="E1622" s="24"/>
      <c r="F1622" s="24"/>
      <c r="G1622" s="29"/>
      <c r="H1622" s="24"/>
    </row>
    <row r="1623" spans="2:8" x14ac:dyDescent="0.25">
      <c r="B1623" s="21" t="str" cm="1">
        <f t="array" aca="1" ref="B16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3" s="22" t="str" cm="1">
        <f t="array" aca="1" ref="C16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A1623, "'!C:C")),"NOK"))&gt;0, "NOK", "Pending....")),"")</f>
        <v/>
      </c>
      <c r="D1623" s="24"/>
      <c r="E1623" s="24"/>
      <c r="F1623" s="24"/>
      <c r="G1623" s="29"/>
      <c r="H1623" s="24"/>
    </row>
    <row r="1624" spans="2:8" x14ac:dyDescent="0.25">
      <c r="B1624" s="21" t="str" cm="1">
        <f t="array" aca="1" ref="B16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4" s="22" t="str" cm="1">
        <f t="array" aca="1" ref="C16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A1624, "'!C:C")),"NOK"))&gt;0, "NOK", "Pending....")),"")</f>
        <v/>
      </c>
      <c r="D1624" s="24"/>
      <c r="E1624" s="24"/>
      <c r="F1624" s="24"/>
      <c r="G1624" s="29"/>
      <c r="H1624" s="24"/>
    </row>
    <row r="1625" spans="2:8" x14ac:dyDescent="0.25">
      <c r="B1625" s="21" t="str" cm="1">
        <f t="array" aca="1" ref="B16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5" s="22" t="str" cm="1">
        <f t="array" aca="1" ref="C16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A1625, "'!C:C")),"NOK"))&gt;0, "NOK", "Pending....")),"")</f>
        <v/>
      </c>
      <c r="D1625" s="24"/>
      <c r="E1625" s="24"/>
      <c r="F1625" s="24"/>
      <c r="G1625" s="29"/>
      <c r="H1625" s="24"/>
    </row>
    <row r="1626" spans="2:8" x14ac:dyDescent="0.25">
      <c r="B1626" s="21" t="str" cm="1">
        <f t="array" aca="1" ref="B16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6" s="22" t="str" cm="1">
        <f t="array" aca="1" ref="C16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A1626, "'!C:C")),"NOK"))&gt;0, "NOK", "Pending....")),"")</f>
        <v/>
      </c>
      <c r="D1626" s="24"/>
      <c r="E1626" s="24"/>
      <c r="F1626" s="24"/>
      <c r="G1626" s="29"/>
      <c r="H1626" s="24"/>
    </row>
    <row r="1627" spans="2:8" x14ac:dyDescent="0.25">
      <c r="B1627" s="21" t="str" cm="1">
        <f t="array" aca="1" ref="B16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7" s="22" t="str" cm="1">
        <f t="array" aca="1" ref="C16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A1627, "'!C:C")),"NOK"))&gt;0, "NOK", "Pending....")),"")</f>
        <v/>
      </c>
      <c r="D1627" s="24"/>
      <c r="E1627" s="24"/>
      <c r="F1627" s="24"/>
      <c r="G1627" s="29"/>
      <c r="H1627" s="24"/>
    </row>
    <row r="1628" spans="2:8" x14ac:dyDescent="0.25">
      <c r="B1628" s="21" t="str" cm="1">
        <f t="array" aca="1" ref="B16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8" s="22" t="str" cm="1">
        <f t="array" aca="1" ref="C16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A1628, "'!C:C")),"NOK"))&gt;0, "NOK", "Pending....")),"")</f>
        <v/>
      </c>
      <c r="D1628" s="24"/>
      <c r="E1628" s="24"/>
      <c r="F1628" s="24"/>
      <c r="G1628" s="29"/>
      <c r="H1628" s="24"/>
    </row>
    <row r="1629" spans="2:8" x14ac:dyDescent="0.25">
      <c r="B1629" s="21" t="str" cm="1">
        <f t="array" aca="1" ref="B16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29" s="22" t="str" cm="1">
        <f t="array" aca="1" ref="C16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A1629, "'!C:C")),"NOK"))&gt;0, "NOK", "Pending....")),"")</f>
        <v/>
      </c>
      <c r="D1629" s="24"/>
      <c r="E1629" s="24"/>
      <c r="F1629" s="24"/>
      <c r="G1629" s="29"/>
      <c r="H1629" s="24"/>
    </row>
    <row r="1630" spans="2:8" x14ac:dyDescent="0.25">
      <c r="B1630" s="21" t="str" cm="1">
        <f t="array" aca="1" ref="B16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0" s="22" t="str" cm="1">
        <f t="array" aca="1" ref="C16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A1630, "'!C:C")),"NOK"))&gt;0, "NOK", "Pending....")),"")</f>
        <v/>
      </c>
      <c r="D1630" s="24"/>
      <c r="E1630" s="24"/>
      <c r="F1630" s="24"/>
      <c r="G1630" s="29"/>
      <c r="H1630" s="24"/>
    </row>
    <row r="1631" spans="2:8" x14ac:dyDescent="0.25">
      <c r="B1631" s="21" t="str" cm="1">
        <f t="array" aca="1" ref="B16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1" s="22" t="str" cm="1">
        <f t="array" aca="1" ref="C16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A1631, "'!C:C")),"NOK"))&gt;0, "NOK", "Pending....")),"")</f>
        <v/>
      </c>
      <c r="D1631" s="24"/>
      <c r="E1631" s="24"/>
      <c r="F1631" s="24"/>
      <c r="G1631" s="29"/>
      <c r="H1631" s="24"/>
    </row>
    <row r="1632" spans="2:8" x14ac:dyDescent="0.25">
      <c r="B1632" s="21" t="str" cm="1">
        <f t="array" aca="1" ref="B16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2" s="22" t="str" cm="1">
        <f t="array" aca="1" ref="C16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A1632, "'!C:C")),"NOK"))&gt;0, "NOK", "Pending....")),"")</f>
        <v/>
      </c>
      <c r="D1632" s="24"/>
      <c r="E1632" s="24"/>
      <c r="F1632" s="24"/>
      <c r="G1632" s="29"/>
      <c r="H1632" s="24"/>
    </row>
    <row r="1633" spans="2:8" x14ac:dyDescent="0.25">
      <c r="B1633" s="21" t="str" cm="1">
        <f t="array" aca="1" ref="B16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3" s="22" t="str" cm="1">
        <f t="array" aca="1" ref="C16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A1633, "'!C:C")),"NOK"))&gt;0, "NOK", "Pending....")),"")</f>
        <v/>
      </c>
      <c r="D1633" s="24"/>
      <c r="E1633" s="24"/>
      <c r="F1633" s="24"/>
      <c r="G1633" s="29"/>
      <c r="H1633" s="24"/>
    </row>
    <row r="1634" spans="2:8" x14ac:dyDescent="0.25">
      <c r="B1634" s="21" t="str" cm="1">
        <f t="array" aca="1" ref="B16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4" s="22" t="str" cm="1">
        <f t="array" aca="1" ref="C16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A1634, "'!C:C")),"NOK"))&gt;0, "NOK", "Pending....")),"")</f>
        <v/>
      </c>
      <c r="D1634" s="24"/>
      <c r="E1634" s="24"/>
      <c r="F1634" s="24"/>
      <c r="G1634" s="29"/>
      <c r="H1634" s="24"/>
    </row>
    <row r="1635" spans="2:8" x14ac:dyDescent="0.25">
      <c r="B1635" s="21" t="str" cm="1">
        <f t="array" aca="1" ref="B16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5" s="22" t="str" cm="1">
        <f t="array" aca="1" ref="C16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A1635, "'!C:C")),"NOK"))&gt;0, "NOK", "Pending....")),"")</f>
        <v/>
      </c>
      <c r="D1635" s="24"/>
      <c r="E1635" s="24"/>
      <c r="F1635" s="24"/>
      <c r="G1635" s="29"/>
      <c r="H1635" s="24"/>
    </row>
    <row r="1636" spans="2:8" x14ac:dyDescent="0.25">
      <c r="B1636" s="21" t="str" cm="1">
        <f t="array" aca="1" ref="B16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6" s="22" t="str" cm="1">
        <f t="array" aca="1" ref="C16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A1636, "'!C:C")),"NOK"))&gt;0, "NOK", "Pending....")),"")</f>
        <v/>
      </c>
      <c r="D1636" s="24"/>
      <c r="E1636" s="24"/>
      <c r="F1636" s="24"/>
      <c r="G1636" s="29"/>
      <c r="H1636" s="24"/>
    </row>
    <row r="1637" spans="2:8" x14ac:dyDescent="0.25">
      <c r="B1637" s="21" t="str" cm="1">
        <f t="array" aca="1" ref="B16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7" s="22" t="str" cm="1">
        <f t="array" aca="1" ref="C16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A1637, "'!C:C")),"NOK"))&gt;0, "NOK", "Pending....")),"")</f>
        <v/>
      </c>
      <c r="D1637" s="24"/>
      <c r="E1637" s="24"/>
      <c r="F1637" s="24"/>
      <c r="G1637" s="29"/>
      <c r="H1637" s="24"/>
    </row>
    <row r="1638" spans="2:8" x14ac:dyDescent="0.25">
      <c r="B1638" s="21" t="str" cm="1">
        <f t="array" aca="1" ref="B16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8" s="22" t="str" cm="1">
        <f t="array" aca="1" ref="C16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A1638, "'!C:C")),"NOK"))&gt;0, "NOK", "Pending....")),"")</f>
        <v/>
      </c>
      <c r="D1638" s="24"/>
      <c r="E1638" s="24"/>
      <c r="F1638" s="24"/>
      <c r="G1638" s="29"/>
      <c r="H1638" s="24"/>
    </row>
    <row r="1639" spans="2:8" x14ac:dyDescent="0.25">
      <c r="B1639" s="21" t="str" cm="1">
        <f t="array" aca="1" ref="B16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39" s="22" t="str" cm="1">
        <f t="array" aca="1" ref="C16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A1639, "'!C:C")),"NOK"))&gt;0, "NOK", "Pending....")),"")</f>
        <v/>
      </c>
      <c r="D1639" s="24"/>
      <c r="E1639" s="24"/>
      <c r="F1639" s="24"/>
      <c r="G1639" s="29"/>
      <c r="H1639" s="24"/>
    </row>
    <row r="1640" spans="2:8" x14ac:dyDescent="0.25">
      <c r="B1640" s="21" t="str" cm="1">
        <f t="array" aca="1" ref="B16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0" s="22" t="str" cm="1">
        <f t="array" aca="1" ref="C16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A1640, "'!C:C")),"NOK"))&gt;0, "NOK", "Pending....")),"")</f>
        <v/>
      </c>
      <c r="D1640" s="24"/>
      <c r="E1640" s="24"/>
      <c r="F1640" s="24"/>
      <c r="G1640" s="29"/>
      <c r="H1640" s="24"/>
    </row>
    <row r="1641" spans="2:8" x14ac:dyDescent="0.25">
      <c r="B1641" s="21" t="str" cm="1">
        <f t="array" aca="1" ref="B16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1" s="22" t="str" cm="1">
        <f t="array" aca="1" ref="C16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A1641, "'!C:C")),"NOK"))&gt;0, "NOK", "Pending....")),"")</f>
        <v/>
      </c>
      <c r="D1641" s="24"/>
      <c r="E1641" s="24"/>
      <c r="F1641" s="24"/>
      <c r="G1641" s="29"/>
      <c r="H1641" s="24"/>
    </row>
    <row r="1642" spans="2:8" x14ac:dyDescent="0.25">
      <c r="B1642" s="21" t="str" cm="1">
        <f t="array" aca="1" ref="B16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2" s="22" t="str" cm="1">
        <f t="array" aca="1" ref="C16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A1642, "'!C:C")),"NOK"))&gt;0, "NOK", "Pending....")),"")</f>
        <v/>
      </c>
      <c r="D1642" s="24"/>
      <c r="E1642" s="24"/>
      <c r="F1642" s="24"/>
      <c r="G1642" s="29"/>
      <c r="H1642" s="24"/>
    </row>
    <row r="1643" spans="2:8" x14ac:dyDescent="0.25">
      <c r="B1643" s="21" t="str" cm="1">
        <f t="array" aca="1" ref="B16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3" s="22" t="str" cm="1">
        <f t="array" aca="1" ref="C16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A1643, "'!C:C")),"NOK"))&gt;0, "NOK", "Pending....")),"")</f>
        <v/>
      </c>
      <c r="D1643" s="24"/>
      <c r="E1643" s="24"/>
      <c r="F1643" s="24"/>
      <c r="G1643" s="29"/>
      <c r="H1643" s="24"/>
    </row>
    <row r="1644" spans="2:8" x14ac:dyDescent="0.25">
      <c r="B1644" s="21" t="str" cm="1">
        <f t="array" aca="1" ref="B16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4" s="22" t="str" cm="1">
        <f t="array" aca="1" ref="C16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A1644, "'!C:C")),"NOK"))&gt;0, "NOK", "Pending....")),"")</f>
        <v/>
      </c>
      <c r="D1644" s="24"/>
      <c r="E1644" s="24"/>
      <c r="F1644" s="24"/>
      <c r="G1644" s="29"/>
      <c r="H1644" s="24"/>
    </row>
    <row r="1645" spans="2:8" x14ac:dyDescent="0.25">
      <c r="B1645" s="21" t="str" cm="1">
        <f t="array" aca="1" ref="B16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5" s="22" t="str" cm="1">
        <f t="array" aca="1" ref="C16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A1645, "'!C:C")),"NOK"))&gt;0, "NOK", "Pending....")),"")</f>
        <v/>
      </c>
      <c r="D1645" s="24"/>
      <c r="E1645" s="24"/>
      <c r="F1645" s="24"/>
      <c r="G1645" s="29"/>
      <c r="H1645" s="24"/>
    </row>
    <row r="1646" spans="2:8" x14ac:dyDescent="0.25">
      <c r="B1646" s="21" t="str" cm="1">
        <f t="array" aca="1" ref="B16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6" s="22" t="str" cm="1">
        <f t="array" aca="1" ref="C16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A1646, "'!C:C")),"NOK"))&gt;0, "NOK", "Pending....")),"")</f>
        <v/>
      </c>
      <c r="D1646" s="24"/>
      <c r="E1646" s="24"/>
      <c r="F1646" s="24"/>
      <c r="G1646" s="29"/>
      <c r="H1646" s="24"/>
    </row>
    <row r="1647" spans="2:8" x14ac:dyDescent="0.25">
      <c r="B1647" s="21" t="str" cm="1">
        <f t="array" aca="1" ref="B16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7" s="22" t="str" cm="1">
        <f t="array" aca="1" ref="C16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A1647, "'!C:C")),"NOK"))&gt;0, "NOK", "Pending....")),"")</f>
        <v/>
      </c>
      <c r="D1647" s="24"/>
      <c r="E1647" s="24"/>
      <c r="F1647" s="24"/>
      <c r="G1647" s="29"/>
      <c r="H1647" s="24"/>
    </row>
    <row r="1648" spans="2:8" x14ac:dyDescent="0.25">
      <c r="B1648" s="21" t="str" cm="1">
        <f t="array" aca="1" ref="B16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8" s="22" t="str" cm="1">
        <f t="array" aca="1" ref="C16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A1648, "'!C:C")),"NOK"))&gt;0, "NOK", "Pending....")),"")</f>
        <v/>
      </c>
      <c r="D1648" s="24"/>
      <c r="E1648" s="24"/>
      <c r="F1648" s="24"/>
      <c r="G1648" s="29"/>
      <c r="H1648" s="24"/>
    </row>
    <row r="1649" spans="2:8" x14ac:dyDescent="0.25">
      <c r="B1649" s="21" t="str" cm="1">
        <f t="array" aca="1" ref="B16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49" s="22" t="str" cm="1">
        <f t="array" aca="1" ref="C16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A1649, "'!C:C")),"NOK"))&gt;0, "NOK", "Pending....")),"")</f>
        <v/>
      </c>
      <c r="D1649" s="24"/>
      <c r="E1649" s="24"/>
      <c r="F1649" s="24"/>
      <c r="G1649" s="29"/>
      <c r="H1649" s="24"/>
    </row>
    <row r="1650" spans="2:8" x14ac:dyDescent="0.25">
      <c r="B1650" s="21" t="str" cm="1">
        <f t="array" aca="1" ref="B16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0" s="22" t="str" cm="1">
        <f t="array" aca="1" ref="C16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A1650, "'!C:C")),"NOK"))&gt;0, "NOK", "Pending....")),"")</f>
        <v/>
      </c>
      <c r="D1650" s="24"/>
      <c r="E1650" s="24"/>
      <c r="F1650" s="24"/>
      <c r="G1650" s="29"/>
      <c r="H1650" s="24"/>
    </row>
    <row r="1651" spans="2:8" x14ac:dyDescent="0.25">
      <c r="B1651" s="21" t="str" cm="1">
        <f t="array" aca="1" ref="B16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1" s="22" t="str" cm="1">
        <f t="array" aca="1" ref="C16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A1651, "'!C:C")),"NOK"))&gt;0, "NOK", "Pending....")),"")</f>
        <v/>
      </c>
      <c r="D1651" s="24"/>
      <c r="E1651" s="24"/>
      <c r="F1651" s="24"/>
      <c r="G1651" s="29"/>
      <c r="H1651" s="24"/>
    </row>
    <row r="1652" spans="2:8" x14ac:dyDescent="0.25">
      <c r="B1652" s="21" t="str" cm="1">
        <f t="array" aca="1" ref="B16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2" s="22" t="str" cm="1">
        <f t="array" aca="1" ref="C16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A1652, "'!C:C")),"NOK"))&gt;0, "NOK", "Pending....")),"")</f>
        <v/>
      </c>
      <c r="D1652" s="24"/>
      <c r="E1652" s="24"/>
      <c r="F1652" s="24"/>
      <c r="G1652" s="29"/>
      <c r="H1652" s="24"/>
    </row>
    <row r="1653" spans="2:8" x14ac:dyDescent="0.25">
      <c r="B1653" s="21" t="str" cm="1">
        <f t="array" aca="1" ref="B16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3" s="22" t="str" cm="1">
        <f t="array" aca="1" ref="C16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A1653, "'!C:C")),"NOK"))&gt;0, "NOK", "Pending....")),"")</f>
        <v/>
      </c>
      <c r="D1653" s="24"/>
      <c r="E1653" s="24"/>
      <c r="F1653" s="24"/>
      <c r="G1653" s="29"/>
      <c r="H1653" s="24"/>
    </row>
    <row r="1654" spans="2:8" x14ac:dyDescent="0.25">
      <c r="B1654" s="21" t="str" cm="1">
        <f t="array" aca="1" ref="B16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4" s="22" t="str" cm="1">
        <f t="array" aca="1" ref="C16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A1654, "'!C:C")),"NOK"))&gt;0, "NOK", "Pending....")),"")</f>
        <v/>
      </c>
      <c r="D1654" s="24"/>
      <c r="E1654" s="24"/>
      <c r="F1654" s="24"/>
      <c r="G1654" s="29"/>
      <c r="H1654" s="24"/>
    </row>
    <row r="1655" spans="2:8" x14ac:dyDescent="0.25">
      <c r="B1655" s="21" t="str" cm="1">
        <f t="array" aca="1" ref="B16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5" s="22" t="str" cm="1">
        <f t="array" aca="1" ref="C16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A1655, "'!C:C")),"NOK"))&gt;0, "NOK", "Pending....")),"")</f>
        <v/>
      </c>
      <c r="D1655" s="24"/>
      <c r="E1655" s="24"/>
      <c r="F1655" s="24"/>
      <c r="G1655" s="29"/>
      <c r="H1655" s="24"/>
    </row>
    <row r="1656" spans="2:8" x14ac:dyDescent="0.25">
      <c r="B1656" s="21" t="str" cm="1">
        <f t="array" aca="1" ref="B16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6" s="22" t="str" cm="1">
        <f t="array" aca="1" ref="C16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A1656, "'!C:C")),"NOK"))&gt;0, "NOK", "Pending....")),"")</f>
        <v/>
      </c>
      <c r="D1656" s="24"/>
      <c r="E1656" s="24"/>
      <c r="F1656" s="24"/>
      <c r="G1656" s="29"/>
      <c r="H1656" s="24"/>
    </row>
    <row r="1657" spans="2:8" x14ac:dyDescent="0.25">
      <c r="B1657" s="21" t="str" cm="1">
        <f t="array" aca="1" ref="B16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7" s="22" t="str" cm="1">
        <f t="array" aca="1" ref="C16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A1657, "'!C:C")),"NOK"))&gt;0, "NOK", "Pending....")),"")</f>
        <v/>
      </c>
      <c r="D1657" s="24"/>
      <c r="E1657" s="24"/>
      <c r="F1657" s="24"/>
      <c r="G1657" s="29"/>
      <c r="H1657" s="24"/>
    </row>
    <row r="1658" spans="2:8" x14ac:dyDescent="0.25">
      <c r="B1658" s="21" t="str" cm="1">
        <f t="array" aca="1" ref="B16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8" s="22" t="str" cm="1">
        <f t="array" aca="1" ref="C16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A1658, "'!C:C")),"NOK"))&gt;0, "NOK", "Pending....")),"")</f>
        <v/>
      </c>
      <c r="D1658" s="24"/>
      <c r="E1658" s="24"/>
      <c r="F1658" s="24"/>
      <c r="G1658" s="29"/>
      <c r="H1658" s="24"/>
    </row>
    <row r="1659" spans="2:8" x14ac:dyDescent="0.25">
      <c r="B1659" s="21" t="str" cm="1">
        <f t="array" aca="1" ref="B16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59" s="22" t="str" cm="1">
        <f t="array" aca="1" ref="C16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A1659, "'!C:C")),"NOK"))&gt;0, "NOK", "Pending....")),"")</f>
        <v/>
      </c>
      <c r="D1659" s="24"/>
      <c r="E1659" s="24"/>
      <c r="F1659" s="24"/>
      <c r="G1659" s="29"/>
      <c r="H1659" s="24"/>
    </row>
    <row r="1660" spans="2:8" x14ac:dyDescent="0.25">
      <c r="B1660" s="21" t="str" cm="1">
        <f t="array" aca="1" ref="B16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0" s="22" t="str" cm="1">
        <f t="array" aca="1" ref="C16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A1660, "'!C:C")),"NOK"))&gt;0, "NOK", "Pending....")),"")</f>
        <v/>
      </c>
      <c r="D1660" s="24"/>
      <c r="E1660" s="24"/>
      <c r="F1660" s="24"/>
      <c r="G1660" s="29"/>
      <c r="H1660" s="24"/>
    </row>
    <row r="1661" spans="2:8" x14ac:dyDescent="0.25">
      <c r="B1661" s="21" t="str" cm="1">
        <f t="array" aca="1" ref="B16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1" s="22" t="str" cm="1">
        <f t="array" aca="1" ref="C16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A1661, "'!C:C")),"NOK"))&gt;0, "NOK", "Pending....")),"")</f>
        <v/>
      </c>
      <c r="D1661" s="24"/>
      <c r="E1661" s="24"/>
      <c r="F1661" s="24"/>
      <c r="G1661" s="29"/>
      <c r="H1661" s="24"/>
    </row>
    <row r="1662" spans="2:8" x14ac:dyDescent="0.25">
      <c r="B1662" s="21" t="str" cm="1">
        <f t="array" aca="1" ref="B16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2" s="22" t="str" cm="1">
        <f t="array" aca="1" ref="C16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A1662, "'!C:C")),"NOK"))&gt;0, "NOK", "Pending....")),"")</f>
        <v/>
      </c>
      <c r="D1662" s="24"/>
      <c r="E1662" s="24"/>
      <c r="F1662" s="24"/>
      <c r="G1662" s="29"/>
      <c r="H1662" s="24"/>
    </row>
    <row r="1663" spans="2:8" x14ac:dyDescent="0.25">
      <c r="B1663" s="21" t="str" cm="1">
        <f t="array" aca="1" ref="B16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3" s="22" t="str" cm="1">
        <f t="array" aca="1" ref="C16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A1663, "'!C:C")),"NOK"))&gt;0, "NOK", "Pending....")),"")</f>
        <v/>
      </c>
      <c r="D1663" s="24"/>
      <c r="E1663" s="24"/>
      <c r="F1663" s="24"/>
      <c r="G1663" s="29"/>
      <c r="H1663" s="24"/>
    </row>
    <row r="1664" spans="2:8" x14ac:dyDescent="0.25">
      <c r="B1664" s="21" t="str" cm="1">
        <f t="array" aca="1" ref="B16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4" s="22" t="str" cm="1">
        <f t="array" aca="1" ref="C16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A1664, "'!C:C")),"NOK"))&gt;0, "NOK", "Pending....")),"")</f>
        <v/>
      </c>
      <c r="D1664" s="24"/>
      <c r="E1664" s="24"/>
      <c r="F1664" s="24"/>
      <c r="G1664" s="29"/>
      <c r="H1664" s="24"/>
    </row>
    <row r="1665" spans="2:8" x14ac:dyDescent="0.25">
      <c r="B1665" s="21" t="str" cm="1">
        <f t="array" aca="1" ref="B16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5" s="22" t="str" cm="1">
        <f t="array" aca="1" ref="C16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A1665, "'!C:C")),"NOK"))&gt;0, "NOK", "Pending....")),"")</f>
        <v/>
      </c>
      <c r="D1665" s="24"/>
      <c r="E1665" s="24"/>
      <c r="F1665" s="24"/>
      <c r="G1665" s="29"/>
      <c r="H1665" s="24"/>
    </row>
    <row r="1666" spans="2:8" x14ac:dyDescent="0.25">
      <c r="B1666" s="21" t="str" cm="1">
        <f t="array" aca="1" ref="B16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6" s="22" t="str" cm="1">
        <f t="array" aca="1" ref="C16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A1666, "'!C:C")),"NOK"))&gt;0, "NOK", "Pending....")),"")</f>
        <v/>
      </c>
      <c r="D1666" s="24"/>
      <c r="E1666" s="24"/>
      <c r="F1666" s="24"/>
      <c r="G1666" s="29"/>
      <c r="H1666" s="24"/>
    </row>
    <row r="1667" spans="2:8" x14ac:dyDescent="0.25">
      <c r="B1667" s="21" t="str" cm="1">
        <f t="array" aca="1" ref="B16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7" s="22" t="str" cm="1">
        <f t="array" aca="1" ref="C16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A1667, "'!C:C")),"NOK"))&gt;0, "NOK", "Pending....")),"")</f>
        <v/>
      </c>
      <c r="D1667" s="24"/>
      <c r="E1667" s="24"/>
      <c r="F1667" s="24"/>
      <c r="G1667" s="29"/>
      <c r="H1667" s="24"/>
    </row>
    <row r="1668" spans="2:8" x14ac:dyDescent="0.25">
      <c r="B1668" s="21" t="str" cm="1">
        <f t="array" aca="1" ref="B16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8" s="22" t="str" cm="1">
        <f t="array" aca="1" ref="C16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A1668, "'!C:C")),"NOK"))&gt;0, "NOK", "Pending....")),"")</f>
        <v/>
      </c>
      <c r="D1668" s="24"/>
      <c r="E1668" s="24"/>
      <c r="F1668" s="24"/>
      <c r="G1668" s="29"/>
      <c r="H1668" s="24"/>
    </row>
    <row r="1669" spans="2:8" x14ac:dyDescent="0.25">
      <c r="B1669" s="21" t="str" cm="1">
        <f t="array" aca="1" ref="B16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69" s="22" t="str" cm="1">
        <f t="array" aca="1" ref="C16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A1669, "'!C:C")),"NOK"))&gt;0, "NOK", "Pending....")),"")</f>
        <v/>
      </c>
      <c r="D1669" s="24"/>
      <c r="E1669" s="24"/>
      <c r="F1669" s="24"/>
      <c r="G1669" s="29"/>
      <c r="H1669" s="24"/>
    </row>
    <row r="1670" spans="2:8" x14ac:dyDescent="0.25">
      <c r="B1670" s="21" t="str" cm="1">
        <f t="array" aca="1" ref="B16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0" s="22" t="str" cm="1">
        <f t="array" aca="1" ref="C16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A1670, "'!C:C")),"NOK"))&gt;0, "NOK", "Pending....")),"")</f>
        <v/>
      </c>
      <c r="D1670" s="24"/>
      <c r="E1670" s="24"/>
      <c r="F1670" s="24"/>
      <c r="G1670" s="29"/>
      <c r="H1670" s="24"/>
    </row>
    <row r="1671" spans="2:8" x14ac:dyDescent="0.25">
      <c r="B1671" s="21" t="str" cm="1">
        <f t="array" aca="1" ref="B16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1" s="22" t="str" cm="1">
        <f t="array" aca="1" ref="C16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A1671, "'!C:C")),"NOK"))&gt;0, "NOK", "Pending....")),"")</f>
        <v/>
      </c>
      <c r="D1671" s="24"/>
      <c r="E1671" s="24"/>
      <c r="F1671" s="24"/>
      <c r="G1671" s="29"/>
      <c r="H1671" s="24"/>
    </row>
    <row r="1672" spans="2:8" x14ac:dyDescent="0.25">
      <c r="B1672" s="21" t="str" cm="1">
        <f t="array" aca="1" ref="B16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2" s="22" t="str" cm="1">
        <f t="array" aca="1" ref="C16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A1672, "'!C:C")),"NOK"))&gt;0, "NOK", "Pending....")),"")</f>
        <v/>
      </c>
      <c r="D1672" s="24"/>
      <c r="E1672" s="24"/>
      <c r="F1672" s="24"/>
      <c r="G1672" s="29"/>
      <c r="H1672" s="24"/>
    </row>
    <row r="1673" spans="2:8" x14ac:dyDescent="0.25">
      <c r="B1673" s="21" t="str" cm="1">
        <f t="array" aca="1" ref="B16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3" s="22" t="str" cm="1">
        <f t="array" aca="1" ref="C16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A1673, "'!C:C")),"NOK"))&gt;0, "NOK", "Pending....")),"")</f>
        <v/>
      </c>
      <c r="D1673" s="24"/>
      <c r="E1673" s="24"/>
      <c r="F1673" s="24"/>
      <c r="G1673" s="29"/>
      <c r="H1673" s="24"/>
    </row>
    <row r="1674" spans="2:8" x14ac:dyDescent="0.25">
      <c r="B1674" s="21" t="str" cm="1">
        <f t="array" aca="1" ref="B16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4" s="22" t="str" cm="1">
        <f t="array" aca="1" ref="C16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A1674, "'!C:C")),"NOK"))&gt;0, "NOK", "Pending....")),"")</f>
        <v/>
      </c>
      <c r="D1674" s="24"/>
      <c r="E1674" s="24"/>
      <c r="F1674" s="24"/>
      <c r="G1674" s="29"/>
      <c r="H1674" s="24"/>
    </row>
    <row r="1675" spans="2:8" x14ac:dyDescent="0.25">
      <c r="B1675" s="21" t="str" cm="1">
        <f t="array" aca="1" ref="B16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5" s="22" t="str" cm="1">
        <f t="array" aca="1" ref="C16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A1675, "'!C:C")),"NOK"))&gt;0, "NOK", "Pending....")),"")</f>
        <v/>
      </c>
      <c r="D1675" s="24"/>
      <c r="E1675" s="24"/>
      <c r="F1675" s="24"/>
      <c r="G1675" s="29"/>
      <c r="H1675" s="24"/>
    </row>
    <row r="1676" spans="2:8" x14ac:dyDescent="0.25">
      <c r="B1676" s="21" t="str" cm="1">
        <f t="array" aca="1" ref="B16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6" s="22" t="str" cm="1">
        <f t="array" aca="1" ref="C16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A1676, "'!C:C")),"NOK"))&gt;0, "NOK", "Pending....")),"")</f>
        <v/>
      </c>
      <c r="D1676" s="24"/>
      <c r="E1676" s="24"/>
      <c r="F1676" s="24"/>
      <c r="G1676" s="29"/>
      <c r="H1676" s="24"/>
    </row>
    <row r="1677" spans="2:8" x14ac:dyDescent="0.25">
      <c r="B1677" s="21" t="str" cm="1">
        <f t="array" aca="1" ref="B16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7" s="22" t="str" cm="1">
        <f t="array" aca="1" ref="C16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A1677, "'!C:C")),"NOK"))&gt;0, "NOK", "Pending....")),"")</f>
        <v/>
      </c>
      <c r="D1677" s="24"/>
      <c r="E1677" s="24"/>
      <c r="F1677" s="24"/>
      <c r="G1677" s="29"/>
      <c r="H1677" s="24"/>
    </row>
    <row r="1678" spans="2:8" x14ac:dyDescent="0.25">
      <c r="B1678" s="21" t="str" cm="1">
        <f t="array" aca="1" ref="B16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8" s="22" t="str" cm="1">
        <f t="array" aca="1" ref="C16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A1678, "'!C:C")),"NOK"))&gt;0, "NOK", "Pending....")),"")</f>
        <v/>
      </c>
      <c r="D1678" s="24"/>
      <c r="E1678" s="24"/>
      <c r="F1678" s="24"/>
      <c r="G1678" s="29"/>
      <c r="H1678" s="24"/>
    </row>
    <row r="1679" spans="2:8" x14ac:dyDescent="0.25">
      <c r="B1679" s="21" t="str" cm="1">
        <f t="array" aca="1" ref="B16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79" s="22" t="str" cm="1">
        <f t="array" aca="1" ref="C16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A1679, "'!C:C")),"NOK"))&gt;0, "NOK", "Pending....")),"")</f>
        <v/>
      </c>
      <c r="D1679" s="24"/>
      <c r="E1679" s="24"/>
      <c r="F1679" s="24"/>
      <c r="G1679" s="29"/>
      <c r="H1679" s="24"/>
    </row>
    <row r="1680" spans="2:8" x14ac:dyDescent="0.25">
      <c r="B1680" s="21" t="str" cm="1">
        <f t="array" aca="1" ref="B16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0" s="22" t="str" cm="1">
        <f t="array" aca="1" ref="C16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A1680, "'!C:C")),"NOK"))&gt;0, "NOK", "Pending....")),"")</f>
        <v/>
      </c>
      <c r="D1680" s="24"/>
      <c r="E1680" s="24"/>
      <c r="F1680" s="24"/>
      <c r="G1680" s="29"/>
      <c r="H1680" s="24"/>
    </row>
    <row r="1681" spans="2:8" x14ac:dyDescent="0.25">
      <c r="B1681" s="21" t="str" cm="1">
        <f t="array" aca="1" ref="B16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1" s="22" t="str" cm="1">
        <f t="array" aca="1" ref="C16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A1681, "'!C:C")),"NOK"))&gt;0, "NOK", "Pending....")),"")</f>
        <v/>
      </c>
      <c r="D1681" s="24"/>
      <c r="E1681" s="24"/>
      <c r="F1681" s="24"/>
      <c r="G1681" s="29"/>
      <c r="H1681" s="24"/>
    </row>
    <row r="1682" spans="2:8" x14ac:dyDescent="0.25">
      <c r="B1682" s="21" t="str" cm="1">
        <f t="array" aca="1" ref="B16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2" s="22" t="str" cm="1">
        <f t="array" aca="1" ref="C16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A1682, "'!C:C")),"NOK"))&gt;0, "NOK", "Pending....")),"")</f>
        <v/>
      </c>
      <c r="D1682" s="24"/>
      <c r="E1682" s="24"/>
      <c r="F1682" s="24"/>
      <c r="G1682" s="29"/>
      <c r="H1682" s="24"/>
    </row>
    <row r="1683" spans="2:8" x14ac:dyDescent="0.25">
      <c r="B1683" s="21" t="str" cm="1">
        <f t="array" aca="1" ref="B16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3" s="22" t="str" cm="1">
        <f t="array" aca="1" ref="C16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A1683, "'!C:C")),"NOK"))&gt;0, "NOK", "Pending....")),"")</f>
        <v/>
      </c>
      <c r="D1683" s="24"/>
      <c r="E1683" s="24"/>
      <c r="F1683" s="24"/>
      <c r="G1683" s="29"/>
      <c r="H1683" s="24"/>
    </row>
    <row r="1684" spans="2:8" x14ac:dyDescent="0.25">
      <c r="B1684" s="21" t="str" cm="1">
        <f t="array" aca="1" ref="B16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4" s="22" t="str" cm="1">
        <f t="array" aca="1" ref="C16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A1684, "'!C:C")),"NOK"))&gt;0, "NOK", "Pending....")),"")</f>
        <v/>
      </c>
      <c r="D1684" s="24"/>
      <c r="E1684" s="24"/>
      <c r="F1684" s="24"/>
      <c r="G1684" s="29"/>
      <c r="H1684" s="24"/>
    </row>
    <row r="1685" spans="2:8" x14ac:dyDescent="0.25">
      <c r="B1685" s="21" t="str" cm="1">
        <f t="array" aca="1" ref="B16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5" s="22" t="str" cm="1">
        <f t="array" aca="1" ref="C16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A1685, "'!C:C")),"NOK"))&gt;0, "NOK", "Pending....")),"")</f>
        <v/>
      </c>
      <c r="D1685" s="24"/>
      <c r="E1685" s="24"/>
      <c r="F1685" s="24"/>
      <c r="G1685" s="29"/>
      <c r="H1685" s="24"/>
    </row>
    <row r="1686" spans="2:8" x14ac:dyDescent="0.25">
      <c r="B1686" s="21" t="str" cm="1">
        <f t="array" aca="1" ref="B16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6" s="22" t="str" cm="1">
        <f t="array" aca="1" ref="C16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A1686, "'!C:C")),"NOK"))&gt;0, "NOK", "Pending....")),"")</f>
        <v/>
      </c>
      <c r="D1686" s="24"/>
      <c r="E1686" s="24"/>
      <c r="F1686" s="24"/>
      <c r="G1686" s="29"/>
      <c r="H1686" s="24"/>
    </row>
    <row r="1687" spans="2:8" x14ac:dyDescent="0.25">
      <c r="B1687" s="21" t="str" cm="1">
        <f t="array" aca="1" ref="B16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7" s="22" t="str" cm="1">
        <f t="array" aca="1" ref="C16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A1687, "'!C:C")),"NOK"))&gt;0, "NOK", "Pending....")),"")</f>
        <v/>
      </c>
      <c r="D1687" s="24"/>
      <c r="E1687" s="24"/>
      <c r="F1687" s="24"/>
      <c r="G1687" s="29"/>
      <c r="H1687" s="24"/>
    </row>
    <row r="1688" spans="2:8" x14ac:dyDescent="0.25">
      <c r="B1688" s="21" t="str" cm="1">
        <f t="array" aca="1" ref="B16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8" s="22" t="str" cm="1">
        <f t="array" aca="1" ref="C16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A1688, "'!C:C")),"NOK"))&gt;0, "NOK", "Pending....")),"")</f>
        <v/>
      </c>
      <c r="D1688" s="24"/>
      <c r="E1688" s="24"/>
      <c r="F1688" s="24"/>
      <c r="G1688" s="29"/>
      <c r="H1688" s="24"/>
    </row>
    <row r="1689" spans="2:8" x14ac:dyDescent="0.25">
      <c r="B1689" s="21" t="str" cm="1">
        <f t="array" aca="1" ref="B16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89" s="22" t="str" cm="1">
        <f t="array" aca="1" ref="C16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A1689, "'!C:C")),"NOK"))&gt;0, "NOK", "Pending....")),"")</f>
        <v/>
      </c>
      <c r="D1689" s="24"/>
      <c r="E1689" s="24"/>
      <c r="F1689" s="24"/>
      <c r="G1689" s="29"/>
      <c r="H1689" s="24"/>
    </row>
    <row r="1690" spans="2:8" x14ac:dyDescent="0.25">
      <c r="B1690" s="21" t="str" cm="1">
        <f t="array" aca="1" ref="B16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0" s="22" t="str" cm="1">
        <f t="array" aca="1" ref="C16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A1690, "'!C:C")),"NOK"))&gt;0, "NOK", "Pending....")),"")</f>
        <v/>
      </c>
      <c r="D1690" s="24"/>
      <c r="E1690" s="24"/>
      <c r="F1690" s="24"/>
      <c r="G1690" s="29"/>
      <c r="H1690" s="24"/>
    </row>
    <row r="1691" spans="2:8" x14ac:dyDescent="0.25">
      <c r="B1691" s="21" t="str" cm="1">
        <f t="array" aca="1" ref="B16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1" s="22" t="str" cm="1">
        <f t="array" aca="1" ref="C16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A1691, "'!C:C")),"NOK"))&gt;0, "NOK", "Pending....")),"")</f>
        <v/>
      </c>
      <c r="D1691" s="24"/>
      <c r="E1691" s="24"/>
      <c r="F1691" s="24"/>
      <c r="G1691" s="29"/>
      <c r="H1691" s="24"/>
    </row>
    <row r="1692" spans="2:8" x14ac:dyDescent="0.25">
      <c r="B1692" s="21" t="str" cm="1">
        <f t="array" aca="1" ref="B16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2" s="22" t="str" cm="1">
        <f t="array" aca="1" ref="C16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A1692, "'!C:C")),"NOK"))&gt;0, "NOK", "Pending....")),"")</f>
        <v/>
      </c>
      <c r="D1692" s="24"/>
      <c r="E1692" s="24"/>
      <c r="F1692" s="24"/>
      <c r="G1692" s="29"/>
      <c r="H1692" s="24"/>
    </row>
    <row r="1693" spans="2:8" x14ac:dyDescent="0.25">
      <c r="B1693" s="21" t="str" cm="1">
        <f t="array" aca="1" ref="B16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3" s="22" t="str" cm="1">
        <f t="array" aca="1" ref="C16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A1693, "'!C:C")),"NOK"))&gt;0, "NOK", "Pending....")),"")</f>
        <v/>
      </c>
      <c r="D1693" s="24"/>
      <c r="E1693" s="24"/>
      <c r="F1693" s="24"/>
      <c r="G1693" s="29"/>
      <c r="H1693" s="24"/>
    </row>
    <row r="1694" spans="2:8" x14ac:dyDescent="0.25">
      <c r="B1694" s="21" t="str" cm="1">
        <f t="array" aca="1" ref="B16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4" s="22" t="str" cm="1">
        <f t="array" aca="1" ref="C16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A1694, "'!C:C")),"NOK"))&gt;0, "NOK", "Pending....")),"")</f>
        <v/>
      </c>
      <c r="D1694" s="24"/>
      <c r="E1694" s="24"/>
      <c r="F1694" s="24"/>
      <c r="G1694" s="29"/>
      <c r="H1694" s="24"/>
    </row>
    <row r="1695" spans="2:8" x14ac:dyDescent="0.25">
      <c r="B1695" s="21" t="str" cm="1">
        <f t="array" aca="1" ref="B16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5" s="22" t="str" cm="1">
        <f t="array" aca="1" ref="C16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A1695, "'!C:C")),"NOK"))&gt;0, "NOK", "Pending....")),"")</f>
        <v/>
      </c>
      <c r="D1695" s="24"/>
      <c r="E1695" s="24"/>
      <c r="F1695" s="24"/>
      <c r="G1695" s="29"/>
      <c r="H1695" s="24"/>
    </row>
    <row r="1696" spans="2:8" x14ac:dyDescent="0.25">
      <c r="B1696" s="21" t="str" cm="1">
        <f t="array" aca="1" ref="B16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6" s="22" t="str" cm="1">
        <f t="array" aca="1" ref="C16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A1696, "'!C:C")),"NOK"))&gt;0, "NOK", "Pending....")),"")</f>
        <v/>
      </c>
      <c r="D1696" s="24"/>
      <c r="E1696" s="24"/>
      <c r="F1696" s="24"/>
      <c r="G1696" s="29"/>
      <c r="H1696" s="24"/>
    </row>
    <row r="1697" spans="2:8" x14ac:dyDescent="0.25">
      <c r="B1697" s="21" t="str" cm="1">
        <f t="array" aca="1" ref="B16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7" s="22" t="str" cm="1">
        <f t="array" aca="1" ref="C16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A1697, "'!C:C")),"NOK"))&gt;0, "NOK", "Pending....")),"")</f>
        <v/>
      </c>
      <c r="D1697" s="24"/>
      <c r="E1697" s="24"/>
      <c r="F1697" s="24"/>
      <c r="G1697" s="29"/>
      <c r="H1697" s="24"/>
    </row>
    <row r="1698" spans="2:8" x14ac:dyDescent="0.25">
      <c r="B1698" s="21" t="str" cm="1">
        <f t="array" aca="1" ref="B16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8" s="22" t="str" cm="1">
        <f t="array" aca="1" ref="C16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A1698, "'!C:C")),"NOK"))&gt;0, "NOK", "Pending....")),"")</f>
        <v/>
      </c>
      <c r="D1698" s="24"/>
      <c r="E1698" s="24"/>
      <c r="F1698" s="24"/>
      <c r="G1698" s="29"/>
      <c r="H1698" s="24"/>
    </row>
    <row r="1699" spans="2:8" x14ac:dyDescent="0.25">
      <c r="B1699" s="21" t="str" cm="1">
        <f t="array" aca="1" ref="B16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699" s="22" t="str" cm="1">
        <f t="array" aca="1" ref="C16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A1699, "'!C:C")),"NOK"))&gt;0, "NOK", "Pending....")),"")</f>
        <v/>
      </c>
      <c r="D1699" s="24"/>
      <c r="E1699" s="24"/>
      <c r="F1699" s="24"/>
      <c r="G1699" s="29"/>
      <c r="H1699" s="24"/>
    </row>
    <row r="1700" spans="2:8" x14ac:dyDescent="0.25">
      <c r="B1700" s="21" t="str" cm="1">
        <f t="array" aca="1" ref="B17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0" s="22" t="str" cm="1">
        <f t="array" aca="1" ref="C17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A1700, "'!C:C")),"NOK"))&gt;0, "NOK", "Pending....")),"")</f>
        <v/>
      </c>
      <c r="D1700" s="24"/>
      <c r="E1700" s="24"/>
      <c r="F1700" s="24"/>
      <c r="G1700" s="29"/>
      <c r="H1700" s="24"/>
    </row>
    <row r="1701" spans="2:8" x14ac:dyDescent="0.25">
      <c r="B1701" s="21" t="str" cm="1">
        <f t="array" aca="1" ref="B17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1" s="22" t="str" cm="1">
        <f t="array" aca="1" ref="C17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A1701, "'!C:C")),"NOK"))&gt;0, "NOK", "Pending....")),"")</f>
        <v/>
      </c>
      <c r="D1701" s="24"/>
      <c r="E1701" s="24"/>
      <c r="F1701" s="24"/>
      <c r="G1701" s="29"/>
      <c r="H1701" s="24"/>
    </row>
    <row r="1702" spans="2:8" x14ac:dyDescent="0.25">
      <c r="B1702" s="21" t="str" cm="1">
        <f t="array" aca="1" ref="B17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2" s="22" t="str" cm="1">
        <f t="array" aca="1" ref="C17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A1702, "'!C:C")),"NOK"))&gt;0, "NOK", "Pending....")),"")</f>
        <v/>
      </c>
      <c r="D1702" s="24"/>
      <c r="E1702" s="24"/>
      <c r="F1702" s="24"/>
      <c r="G1702" s="29"/>
      <c r="H1702" s="24"/>
    </row>
    <row r="1703" spans="2:8" x14ac:dyDescent="0.25">
      <c r="B1703" s="21" t="str" cm="1">
        <f t="array" aca="1" ref="B17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3" s="22" t="str" cm="1">
        <f t="array" aca="1" ref="C17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A1703, "'!C:C")),"NOK"))&gt;0, "NOK", "Pending....")),"")</f>
        <v/>
      </c>
      <c r="D1703" s="24"/>
      <c r="E1703" s="24"/>
      <c r="F1703" s="24"/>
      <c r="G1703" s="29"/>
      <c r="H1703" s="24"/>
    </row>
    <row r="1704" spans="2:8" x14ac:dyDescent="0.25">
      <c r="B1704" s="21" t="str" cm="1">
        <f t="array" aca="1" ref="B17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4" s="22" t="str" cm="1">
        <f t="array" aca="1" ref="C17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A1704, "'!C:C")),"NOK"))&gt;0, "NOK", "Pending....")),"")</f>
        <v/>
      </c>
      <c r="D1704" s="24"/>
      <c r="E1704" s="24"/>
      <c r="F1704" s="24"/>
      <c r="G1704" s="29"/>
      <c r="H1704" s="24"/>
    </row>
    <row r="1705" spans="2:8" x14ac:dyDescent="0.25">
      <c r="B1705" s="21" t="str" cm="1">
        <f t="array" aca="1" ref="B17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5" s="22" t="str" cm="1">
        <f t="array" aca="1" ref="C17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A1705, "'!C:C")),"NOK"))&gt;0, "NOK", "Pending....")),"")</f>
        <v/>
      </c>
      <c r="D1705" s="24"/>
      <c r="E1705" s="24"/>
      <c r="F1705" s="24"/>
      <c r="G1705" s="29"/>
      <c r="H1705" s="24"/>
    </row>
    <row r="1706" spans="2:8" x14ac:dyDescent="0.25">
      <c r="B1706" s="21" t="str" cm="1">
        <f t="array" aca="1" ref="B17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6" s="22" t="str" cm="1">
        <f t="array" aca="1" ref="C17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A1706, "'!C:C")),"NOK"))&gt;0, "NOK", "Pending....")),"")</f>
        <v/>
      </c>
      <c r="D1706" s="24"/>
      <c r="E1706" s="24"/>
      <c r="F1706" s="24"/>
      <c r="G1706" s="29"/>
      <c r="H1706" s="24"/>
    </row>
    <row r="1707" spans="2:8" x14ac:dyDescent="0.25">
      <c r="B1707" s="21" t="str" cm="1">
        <f t="array" aca="1" ref="B17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7" s="22" t="str" cm="1">
        <f t="array" aca="1" ref="C17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A1707, "'!C:C")),"NOK"))&gt;0, "NOK", "Pending....")),"")</f>
        <v/>
      </c>
      <c r="D1707" s="24"/>
      <c r="E1707" s="24"/>
      <c r="F1707" s="24"/>
      <c r="G1707" s="29"/>
      <c r="H1707" s="24"/>
    </row>
    <row r="1708" spans="2:8" x14ac:dyDescent="0.25">
      <c r="B1708" s="21" t="str" cm="1">
        <f t="array" aca="1" ref="B17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8" s="22" t="str" cm="1">
        <f t="array" aca="1" ref="C17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A1708, "'!C:C")),"NOK"))&gt;0, "NOK", "Pending....")),"")</f>
        <v/>
      </c>
      <c r="D1708" s="24"/>
      <c r="E1708" s="24"/>
      <c r="F1708" s="24"/>
      <c r="G1708" s="29"/>
      <c r="H1708" s="24"/>
    </row>
    <row r="1709" spans="2:8" x14ac:dyDescent="0.25">
      <c r="B1709" s="21" t="str" cm="1">
        <f t="array" aca="1" ref="B17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09" s="22" t="str" cm="1">
        <f t="array" aca="1" ref="C17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A1709, "'!C:C")),"NOK"))&gt;0, "NOK", "Pending....")),"")</f>
        <v/>
      </c>
      <c r="D1709" s="24"/>
      <c r="E1709" s="24"/>
      <c r="F1709" s="24"/>
      <c r="G1709" s="29"/>
      <c r="H1709" s="24"/>
    </row>
    <row r="1710" spans="2:8" x14ac:dyDescent="0.25">
      <c r="B1710" s="21" t="str" cm="1">
        <f t="array" aca="1" ref="B17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0" s="22" t="str" cm="1">
        <f t="array" aca="1" ref="C17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A1710, "'!C:C")),"NOK"))&gt;0, "NOK", "Pending....")),"")</f>
        <v/>
      </c>
      <c r="D1710" s="24"/>
      <c r="E1710" s="24"/>
      <c r="F1710" s="24"/>
      <c r="G1710" s="29"/>
      <c r="H1710" s="24"/>
    </row>
    <row r="1711" spans="2:8" x14ac:dyDescent="0.25">
      <c r="B1711" s="21" t="str" cm="1">
        <f t="array" aca="1" ref="B17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1" s="22" t="str" cm="1">
        <f t="array" aca="1" ref="C17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A1711, "'!C:C")),"NOK"))&gt;0, "NOK", "Pending....")),"")</f>
        <v/>
      </c>
      <c r="D1711" s="24"/>
      <c r="E1711" s="24"/>
      <c r="F1711" s="24"/>
      <c r="G1711" s="29"/>
      <c r="H1711" s="24"/>
    </row>
    <row r="1712" spans="2:8" x14ac:dyDescent="0.25">
      <c r="B1712" s="21" t="str" cm="1">
        <f t="array" aca="1" ref="B17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2" s="22" t="str" cm="1">
        <f t="array" aca="1" ref="C17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A1712, "'!C:C")),"NOK"))&gt;0, "NOK", "Pending....")),"")</f>
        <v/>
      </c>
      <c r="D1712" s="24"/>
      <c r="E1712" s="24"/>
      <c r="F1712" s="24"/>
      <c r="G1712" s="29"/>
      <c r="H1712" s="24"/>
    </row>
    <row r="1713" spans="2:8" x14ac:dyDescent="0.25">
      <c r="B1713" s="21" t="str" cm="1">
        <f t="array" aca="1" ref="B17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3" s="22" t="str" cm="1">
        <f t="array" aca="1" ref="C17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A1713, "'!C:C")),"NOK"))&gt;0, "NOK", "Pending....")),"")</f>
        <v/>
      </c>
      <c r="D1713" s="24"/>
      <c r="E1713" s="24"/>
      <c r="F1713" s="24"/>
      <c r="G1713" s="29"/>
      <c r="H1713" s="24"/>
    </row>
    <row r="1714" spans="2:8" x14ac:dyDescent="0.25">
      <c r="B1714" s="21" t="str" cm="1">
        <f t="array" aca="1" ref="B17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4" s="22" t="str" cm="1">
        <f t="array" aca="1" ref="C17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A1714, "'!C:C")),"NOK"))&gt;0, "NOK", "Pending....")),"")</f>
        <v/>
      </c>
      <c r="D1714" s="24"/>
      <c r="E1714" s="24"/>
      <c r="F1714" s="24"/>
      <c r="G1714" s="29"/>
      <c r="H1714" s="24"/>
    </row>
    <row r="1715" spans="2:8" x14ac:dyDescent="0.25">
      <c r="B1715" s="21" t="str" cm="1">
        <f t="array" aca="1" ref="B17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5" s="22" t="str" cm="1">
        <f t="array" aca="1" ref="C17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A1715, "'!C:C")),"NOK"))&gt;0, "NOK", "Pending....")),"")</f>
        <v/>
      </c>
      <c r="D1715" s="24"/>
      <c r="E1715" s="24"/>
      <c r="F1715" s="24"/>
      <c r="G1715" s="29"/>
      <c r="H1715" s="24"/>
    </row>
    <row r="1716" spans="2:8" x14ac:dyDescent="0.25">
      <c r="B1716" s="21" t="str" cm="1">
        <f t="array" aca="1" ref="B17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6" s="22" t="str" cm="1">
        <f t="array" aca="1" ref="C17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A1716, "'!C:C")),"NOK"))&gt;0, "NOK", "Pending....")),"")</f>
        <v/>
      </c>
      <c r="D1716" s="24"/>
      <c r="E1716" s="24"/>
      <c r="F1716" s="24"/>
      <c r="G1716" s="29"/>
      <c r="H1716" s="24"/>
    </row>
    <row r="1717" spans="2:8" x14ac:dyDescent="0.25">
      <c r="B1717" s="21" t="str" cm="1">
        <f t="array" aca="1" ref="B17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7" s="22" t="str" cm="1">
        <f t="array" aca="1" ref="C17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A1717, "'!C:C")),"NOK"))&gt;0, "NOK", "Pending....")),"")</f>
        <v/>
      </c>
      <c r="D1717" s="24"/>
      <c r="E1717" s="24"/>
      <c r="F1717" s="24"/>
      <c r="G1717" s="29"/>
      <c r="H1717" s="24"/>
    </row>
    <row r="1718" spans="2:8" x14ac:dyDescent="0.25">
      <c r="B1718" s="21" t="str" cm="1">
        <f t="array" aca="1" ref="B17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8" s="22" t="str" cm="1">
        <f t="array" aca="1" ref="C17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A1718, "'!C:C")),"NOK"))&gt;0, "NOK", "Pending....")),"")</f>
        <v/>
      </c>
      <c r="D1718" s="24"/>
      <c r="E1718" s="24"/>
      <c r="F1718" s="24"/>
      <c r="G1718" s="29"/>
      <c r="H1718" s="24"/>
    </row>
    <row r="1719" spans="2:8" x14ac:dyDescent="0.25">
      <c r="B1719" s="21" t="str" cm="1">
        <f t="array" aca="1" ref="B17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19" s="22" t="str" cm="1">
        <f t="array" aca="1" ref="C17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A1719, "'!C:C")),"NOK"))&gt;0, "NOK", "Pending....")),"")</f>
        <v/>
      </c>
      <c r="D1719" s="24"/>
      <c r="E1719" s="24"/>
      <c r="F1719" s="24"/>
      <c r="G1719" s="29"/>
      <c r="H1719" s="24"/>
    </row>
    <row r="1720" spans="2:8" x14ac:dyDescent="0.25">
      <c r="B1720" s="21" t="str" cm="1">
        <f t="array" aca="1" ref="B17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0" s="22" t="str" cm="1">
        <f t="array" aca="1" ref="C17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A1720, "'!C:C")),"NOK"))&gt;0, "NOK", "Pending....")),"")</f>
        <v/>
      </c>
      <c r="D1720" s="24"/>
      <c r="E1720" s="24"/>
      <c r="F1720" s="24"/>
      <c r="G1720" s="29"/>
      <c r="H1720" s="24"/>
    </row>
    <row r="1721" spans="2:8" x14ac:dyDescent="0.25">
      <c r="B1721" s="21" t="str" cm="1">
        <f t="array" aca="1" ref="B17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1" s="22" t="str" cm="1">
        <f t="array" aca="1" ref="C17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A1721, "'!C:C")),"NOK"))&gt;0, "NOK", "Pending....")),"")</f>
        <v/>
      </c>
      <c r="D1721" s="24"/>
      <c r="E1721" s="24"/>
      <c r="F1721" s="24"/>
      <c r="G1721" s="29"/>
      <c r="H1721" s="24"/>
    </row>
    <row r="1722" spans="2:8" x14ac:dyDescent="0.25">
      <c r="B1722" s="21" t="str" cm="1">
        <f t="array" aca="1" ref="B17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2" s="22" t="str" cm="1">
        <f t="array" aca="1" ref="C17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A1722, "'!C:C")),"NOK"))&gt;0, "NOK", "Pending....")),"")</f>
        <v/>
      </c>
      <c r="D1722" s="24"/>
      <c r="E1722" s="24"/>
      <c r="F1722" s="24"/>
      <c r="G1722" s="29"/>
      <c r="H1722" s="24"/>
    </row>
    <row r="1723" spans="2:8" x14ac:dyDescent="0.25">
      <c r="B1723" s="21" t="str" cm="1">
        <f t="array" aca="1" ref="B17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3" s="22" t="str" cm="1">
        <f t="array" aca="1" ref="C17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A1723, "'!C:C")),"NOK"))&gt;0, "NOK", "Pending....")),"")</f>
        <v/>
      </c>
      <c r="D1723" s="24"/>
      <c r="E1723" s="24"/>
      <c r="F1723" s="24"/>
      <c r="G1723" s="29"/>
      <c r="H1723" s="24"/>
    </row>
    <row r="1724" spans="2:8" x14ac:dyDescent="0.25">
      <c r="B1724" s="21" t="str" cm="1">
        <f t="array" aca="1" ref="B17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4" s="22" t="str" cm="1">
        <f t="array" aca="1" ref="C17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A1724, "'!C:C")),"NOK"))&gt;0, "NOK", "Pending....")),"")</f>
        <v/>
      </c>
      <c r="D1724" s="24"/>
      <c r="E1724" s="24"/>
      <c r="F1724" s="24"/>
      <c r="G1724" s="29"/>
      <c r="H1724" s="24"/>
    </row>
    <row r="1725" spans="2:8" x14ac:dyDescent="0.25">
      <c r="B1725" s="21" t="str" cm="1">
        <f t="array" aca="1" ref="B17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5" s="22" t="str" cm="1">
        <f t="array" aca="1" ref="C17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A1725, "'!C:C")),"NOK"))&gt;0, "NOK", "Pending....")),"")</f>
        <v/>
      </c>
      <c r="D1725" s="24"/>
      <c r="E1725" s="24"/>
      <c r="F1725" s="24"/>
      <c r="G1725" s="29"/>
      <c r="H1725" s="24"/>
    </row>
    <row r="1726" spans="2:8" x14ac:dyDescent="0.25">
      <c r="B1726" s="21" t="str" cm="1">
        <f t="array" aca="1" ref="B17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6" s="22" t="str" cm="1">
        <f t="array" aca="1" ref="C17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A1726, "'!C:C")),"NOK"))&gt;0, "NOK", "Pending....")),"")</f>
        <v/>
      </c>
      <c r="D1726" s="24"/>
      <c r="E1726" s="24"/>
      <c r="F1726" s="24"/>
      <c r="G1726" s="29"/>
      <c r="H1726" s="24"/>
    </row>
    <row r="1727" spans="2:8" x14ac:dyDescent="0.25">
      <c r="B1727" s="21" t="str" cm="1">
        <f t="array" aca="1" ref="B17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7" s="22" t="str" cm="1">
        <f t="array" aca="1" ref="C17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A1727, "'!C:C")),"NOK"))&gt;0, "NOK", "Pending....")),"")</f>
        <v/>
      </c>
      <c r="D1727" s="24"/>
      <c r="E1727" s="24"/>
      <c r="F1727" s="24"/>
      <c r="G1727" s="29"/>
      <c r="H1727" s="24"/>
    </row>
    <row r="1728" spans="2:8" x14ac:dyDescent="0.25">
      <c r="B1728" s="21" t="str" cm="1">
        <f t="array" aca="1" ref="B17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8" s="22" t="str" cm="1">
        <f t="array" aca="1" ref="C17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A1728, "'!C:C")),"NOK"))&gt;0, "NOK", "Pending....")),"")</f>
        <v/>
      </c>
      <c r="D1728" s="24"/>
      <c r="E1728" s="24"/>
      <c r="F1728" s="24"/>
      <c r="G1728" s="29"/>
      <c r="H1728" s="24"/>
    </row>
    <row r="1729" spans="2:8" x14ac:dyDescent="0.25">
      <c r="B1729" s="21" t="str" cm="1">
        <f t="array" aca="1" ref="B17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29" s="22" t="str" cm="1">
        <f t="array" aca="1" ref="C17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A1729, "'!C:C")),"NOK"))&gt;0, "NOK", "Pending....")),"")</f>
        <v/>
      </c>
      <c r="D1729" s="24"/>
      <c r="E1729" s="24"/>
      <c r="F1729" s="24"/>
      <c r="G1729" s="29"/>
      <c r="H1729" s="24"/>
    </row>
    <row r="1730" spans="2:8" x14ac:dyDescent="0.25">
      <c r="B1730" s="21" t="str" cm="1">
        <f t="array" aca="1" ref="B17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0" s="22" t="str" cm="1">
        <f t="array" aca="1" ref="C17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A1730, "'!C:C")),"NOK"))&gt;0, "NOK", "Pending....")),"")</f>
        <v/>
      </c>
      <c r="D1730" s="24"/>
      <c r="E1730" s="24"/>
      <c r="F1730" s="24"/>
      <c r="G1730" s="29"/>
      <c r="H1730" s="24"/>
    </row>
    <row r="1731" spans="2:8" x14ac:dyDescent="0.25">
      <c r="B1731" s="21" t="str" cm="1">
        <f t="array" aca="1" ref="B17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1" s="22" t="str" cm="1">
        <f t="array" aca="1" ref="C17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A1731, "'!C:C")),"NOK"))&gt;0, "NOK", "Pending....")),"")</f>
        <v/>
      </c>
      <c r="D1731" s="24"/>
      <c r="E1731" s="24"/>
      <c r="F1731" s="24"/>
      <c r="G1731" s="29"/>
      <c r="H1731" s="24"/>
    </row>
    <row r="1732" spans="2:8" x14ac:dyDescent="0.25">
      <c r="B1732" s="21" t="str" cm="1">
        <f t="array" aca="1" ref="B17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2" s="22" t="str" cm="1">
        <f t="array" aca="1" ref="C17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A1732, "'!C:C")),"NOK"))&gt;0, "NOK", "Pending....")),"")</f>
        <v/>
      </c>
      <c r="D1732" s="24"/>
      <c r="E1732" s="24"/>
      <c r="F1732" s="24"/>
      <c r="G1732" s="29"/>
      <c r="H1732" s="24"/>
    </row>
    <row r="1733" spans="2:8" x14ac:dyDescent="0.25">
      <c r="B1733" s="21" t="str" cm="1">
        <f t="array" aca="1" ref="B17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3" s="22" t="str" cm="1">
        <f t="array" aca="1" ref="C17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A1733, "'!C:C")),"NOK"))&gt;0, "NOK", "Pending....")),"")</f>
        <v/>
      </c>
      <c r="D1733" s="24"/>
      <c r="E1733" s="24"/>
      <c r="F1733" s="24"/>
      <c r="G1733" s="29"/>
      <c r="H1733" s="24"/>
    </row>
    <row r="1734" spans="2:8" x14ac:dyDescent="0.25">
      <c r="B1734" s="21" t="str" cm="1">
        <f t="array" aca="1" ref="B17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4" s="22" t="str" cm="1">
        <f t="array" aca="1" ref="C17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A1734, "'!C:C")),"NOK"))&gt;0, "NOK", "Pending....")),"")</f>
        <v/>
      </c>
      <c r="D1734" s="24"/>
      <c r="E1734" s="24"/>
      <c r="F1734" s="24"/>
      <c r="G1734" s="29"/>
      <c r="H1734" s="24"/>
    </row>
    <row r="1735" spans="2:8" x14ac:dyDescent="0.25">
      <c r="B1735" s="21" t="str" cm="1">
        <f t="array" aca="1" ref="B17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5" s="22" t="str" cm="1">
        <f t="array" aca="1" ref="C17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A1735, "'!C:C")),"NOK"))&gt;0, "NOK", "Pending....")),"")</f>
        <v/>
      </c>
      <c r="D1735" s="24"/>
      <c r="E1735" s="24"/>
      <c r="F1735" s="24"/>
      <c r="G1735" s="29"/>
      <c r="H1735" s="24"/>
    </row>
    <row r="1736" spans="2:8" x14ac:dyDescent="0.25">
      <c r="B1736" s="21" t="str" cm="1">
        <f t="array" aca="1" ref="B17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6" s="22" t="str" cm="1">
        <f t="array" aca="1" ref="C17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A1736, "'!C:C")),"NOK"))&gt;0, "NOK", "Pending....")),"")</f>
        <v/>
      </c>
      <c r="D1736" s="24"/>
      <c r="E1736" s="24"/>
      <c r="F1736" s="24"/>
      <c r="G1736" s="29"/>
      <c r="H1736" s="24"/>
    </row>
    <row r="1737" spans="2:8" x14ac:dyDescent="0.25">
      <c r="B1737" s="21" t="str" cm="1">
        <f t="array" aca="1" ref="B17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7" s="22" t="str" cm="1">
        <f t="array" aca="1" ref="C17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A1737, "'!C:C")),"NOK"))&gt;0, "NOK", "Pending....")),"")</f>
        <v/>
      </c>
      <c r="D1737" s="24"/>
      <c r="E1737" s="24"/>
      <c r="F1737" s="24"/>
      <c r="G1737" s="29"/>
      <c r="H1737" s="24"/>
    </row>
    <row r="1738" spans="2:8" x14ac:dyDescent="0.25">
      <c r="B1738" s="21" t="str" cm="1">
        <f t="array" aca="1" ref="B17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8" s="22" t="str" cm="1">
        <f t="array" aca="1" ref="C17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A1738, "'!C:C")),"NOK"))&gt;0, "NOK", "Pending....")),"")</f>
        <v/>
      </c>
      <c r="D1738" s="24"/>
      <c r="E1738" s="24"/>
      <c r="F1738" s="24"/>
      <c r="G1738" s="29"/>
      <c r="H1738" s="24"/>
    </row>
    <row r="1739" spans="2:8" x14ac:dyDescent="0.25">
      <c r="B1739" s="21" t="str" cm="1">
        <f t="array" aca="1" ref="B17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39" s="22" t="str" cm="1">
        <f t="array" aca="1" ref="C17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A1739, "'!C:C")),"NOK"))&gt;0, "NOK", "Pending....")),"")</f>
        <v/>
      </c>
      <c r="D1739" s="24"/>
      <c r="E1739" s="24"/>
      <c r="F1739" s="24"/>
      <c r="G1739" s="29"/>
      <c r="H1739" s="24"/>
    </row>
    <row r="1740" spans="2:8" x14ac:dyDescent="0.25">
      <c r="B1740" s="21" t="str" cm="1">
        <f t="array" aca="1" ref="B17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0" s="22" t="str" cm="1">
        <f t="array" aca="1" ref="C17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A1740, "'!C:C")),"NOK"))&gt;0, "NOK", "Pending....")),"")</f>
        <v/>
      </c>
      <c r="D1740" s="24"/>
      <c r="E1740" s="24"/>
      <c r="F1740" s="24"/>
      <c r="G1740" s="29"/>
      <c r="H1740" s="24"/>
    </row>
    <row r="1741" spans="2:8" x14ac:dyDescent="0.25">
      <c r="B1741" s="21" t="str" cm="1">
        <f t="array" aca="1" ref="B17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1" s="22" t="str" cm="1">
        <f t="array" aca="1" ref="C17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A1741, "'!C:C")),"NOK"))&gt;0, "NOK", "Pending....")),"")</f>
        <v/>
      </c>
      <c r="D1741" s="24"/>
      <c r="E1741" s="24"/>
      <c r="F1741" s="24"/>
      <c r="G1741" s="29"/>
      <c r="H1741" s="24"/>
    </row>
    <row r="1742" spans="2:8" x14ac:dyDescent="0.25">
      <c r="B1742" s="21" t="str" cm="1">
        <f t="array" aca="1" ref="B17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2" s="22" t="str" cm="1">
        <f t="array" aca="1" ref="C17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A1742, "'!C:C")),"NOK"))&gt;0, "NOK", "Pending....")),"")</f>
        <v/>
      </c>
      <c r="D1742" s="24"/>
      <c r="E1742" s="24"/>
      <c r="F1742" s="24"/>
      <c r="G1742" s="29"/>
      <c r="H1742" s="24"/>
    </row>
    <row r="1743" spans="2:8" x14ac:dyDescent="0.25">
      <c r="B1743" s="21" t="str" cm="1">
        <f t="array" aca="1" ref="B17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3" s="22" t="str" cm="1">
        <f t="array" aca="1" ref="C17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A1743, "'!C:C")),"NOK"))&gt;0, "NOK", "Pending....")),"")</f>
        <v/>
      </c>
      <c r="D1743" s="24"/>
      <c r="E1743" s="24"/>
      <c r="F1743" s="24"/>
      <c r="G1743" s="29"/>
      <c r="H1743" s="24"/>
    </row>
    <row r="1744" spans="2:8" x14ac:dyDescent="0.25">
      <c r="B1744" s="21" t="str" cm="1">
        <f t="array" aca="1" ref="B17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4" s="22" t="str" cm="1">
        <f t="array" aca="1" ref="C17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A1744, "'!C:C")),"NOK"))&gt;0, "NOK", "Pending....")),"")</f>
        <v/>
      </c>
      <c r="D1744" s="24"/>
      <c r="E1744" s="24"/>
      <c r="F1744" s="24"/>
      <c r="G1744" s="29"/>
      <c r="H1744" s="24"/>
    </row>
    <row r="1745" spans="2:8" x14ac:dyDescent="0.25">
      <c r="B1745" s="21" t="str" cm="1">
        <f t="array" aca="1" ref="B17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5" s="22" t="str" cm="1">
        <f t="array" aca="1" ref="C17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A1745, "'!C:C")),"NOK"))&gt;0, "NOK", "Pending....")),"")</f>
        <v/>
      </c>
      <c r="D1745" s="24"/>
      <c r="E1745" s="24"/>
      <c r="F1745" s="24"/>
      <c r="G1745" s="29"/>
      <c r="H1745" s="24"/>
    </row>
    <row r="1746" spans="2:8" x14ac:dyDescent="0.25">
      <c r="B1746" s="21" t="str" cm="1">
        <f t="array" aca="1" ref="B17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6" s="22" t="str" cm="1">
        <f t="array" aca="1" ref="C17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A1746, "'!C:C")),"NOK"))&gt;0, "NOK", "Pending....")),"")</f>
        <v/>
      </c>
      <c r="D1746" s="24"/>
      <c r="E1746" s="24"/>
      <c r="F1746" s="24"/>
      <c r="G1746" s="29"/>
      <c r="H1746" s="24"/>
    </row>
    <row r="1747" spans="2:8" x14ac:dyDescent="0.25">
      <c r="B1747" s="21" t="str" cm="1">
        <f t="array" aca="1" ref="B17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7" s="22" t="str" cm="1">
        <f t="array" aca="1" ref="C17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A1747, "'!C:C")),"NOK"))&gt;0, "NOK", "Pending....")),"")</f>
        <v/>
      </c>
      <c r="D1747" s="24"/>
      <c r="E1747" s="24"/>
      <c r="F1747" s="24"/>
      <c r="G1747" s="29"/>
      <c r="H1747" s="24"/>
    </row>
    <row r="1748" spans="2:8" x14ac:dyDescent="0.25">
      <c r="B1748" s="21" t="str" cm="1">
        <f t="array" aca="1" ref="B17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8" s="22" t="str" cm="1">
        <f t="array" aca="1" ref="C17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A1748, "'!C:C")),"NOK"))&gt;0, "NOK", "Pending....")),"")</f>
        <v/>
      </c>
      <c r="D1748" s="24"/>
      <c r="E1748" s="24"/>
      <c r="F1748" s="24"/>
      <c r="G1748" s="29"/>
      <c r="H1748" s="24"/>
    </row>
    <row r="1749" spans="2:8" x14ac:dyDescent="0.25">
      <c r="B1749" s="21" t="str" cm="1">
        <f t="array" aca="1" ref="B17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49" s="22" t="str" cm="1">
        <f t="array" aca="1" ref="C17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A1749, "'!C:C")),"NOK"))&gt;0, "NOK", "Pending....")),"")</f>
        <v/>
      </c>
      <c r="D1749" s="24"/>
      <c r="E1749" s="24"/>
      <c r="F1749" s="24"/>
      <c r="G1749" s="29"/>
      <c r="H1749" s="24"/>
    </row>
    <row r="1750" spans="2:8" x14ac:dyDescent="0.25">
      <c r="B1750" s="21" t="str" cm="1">
        <f t="array" aca="1" ref="B17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0" s="22" t="str" cm="1">
        <f t="array" aca="1" ref="C17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A1750, "'!C:C")),"NOK"))&gt;0, "NOK", "Pending....")),"")</f>
        <v/>
      </c>
      <c r="D1750" s="24"/>
      <c r="E1750" s="24"/>
      <c r="F1750" s="24"/>
      <c r="G1750" s="29"/>
      <c r="H1750" s="24"/>
    </row>
    <row r="1751" spans="2:8" x14ac:dyDescent="0.25">
      <c r="B1751" s="21" t="str" cm="1">
        <f t="array" aca="1" ref="B17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1" s="22" t="str" cm="1">
        <f t="array" aca="1" ref="C17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A1751, "'!C:C")),"NOK"))&gt;0, "NOK", "Pending....")),"")</f>
        <v/>
      </c>
      <c r="D1751" s="24"/>
      <c r="E1751" s="24"/>
      <c r="F1751" s="24"/>
      <c r="G1751" s="29"/>
      <c r="H1751" s="24"/>
    </row>
    <row r="1752" spans="2:8" x14ac:dyDescent="0.25">
      <c r="B1752" s="21" t="str" cm="1">
        <f t="array" aca="1" ref="B17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2" s="22" t="str" cm="1">
        <f t="array" aca="1" ref="C17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A1752, "'!C:C")),"NOK"))&gt;0, "NOK", "Pending....")),"")</f>
        <v/>
      </c>
      <c r="D1752" s="24"/>
      <c r="E1752" s="24"/>
      <c r="F1752" s="24"/>
      <c r="G1752" s="29"/>
      <c r="H1752" s="24"/>
    </row>
    <row r="1753" spans="2:8" x14ac:dyDescent="0.25">
      <c r="B1753" s="21" t="str" cm="1">
        <f t="array" aca="1" ref="B17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3" s="22" t="str" cm="1">
        <f t="array" aca="1" ref="C17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A1753, "'!C:C")),"NOK"))&gt;0, "NOK", "Pending....")),"")</f>
        <v/>
      </c>
      <c r="D1753" s="24"/>
      <c r="E1753" s="24"/>
      <c r="F1753" s="24"/>
      <c r="G1753" s="29"/>
      <c r="H1753" s="24"/>
    </row>
    <row r="1754" spans="2:8" x14ac:dyDescent="0.25">
      <c r="B1754" s="21" t="str" cm="1">
        <f t="array" aca="1" ref="B17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4" s="22" t="str" cm="1">
        <f t="array" aca="1" ref="C17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A1754, "'!C:C")),"NOK"))&gt;0, "NOK", "Pending....")),"")</f>
        <v/>
      </c>
      <c r="D1754" s="24"/>
      <c r="E1754" s="24"/>
      <c r="F1754" s="24"/>
      <c r="G1754" s="29"/>
      <c r="H1754" s="24"/>
    </row>
    <row r="1755" spans="2:8" x14ac:dyDescent="0.25">
      <c r="B1755" s="21" t="str" cm="1">
        <f t="array" aca="1" ref="B17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5" s="22" t="str" cm="1">
        <f t="array" aca="1" ref="C17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A1755, "'!C:C")),"NOK"))&gt;0, "NOK", "Pending....")),"")</f>
        <v/>
      </c>
      <c r="D1755" s="24"/>
      <c r="E1755" s="24"/>
      <c r="F1755" s="24"/>
      <c r="G1755" s="29"/>
      <c r="H1755" s="24"/>
    </row>
    <row r="1756" spans="2:8" x14ac:dyDescent="0.25">
      <c r="B1756" s="21" t="str" cm="1">
        <f t="array" aca="1" ref="B17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6" s="22" t="str" cm="1">
        <f t="array" aca="1" ref="C17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A1756, "'!C:C")),"NOK"))&gt;0, "NOK", "Pending....")),"")</f>
        <v/>
      </c>
      <c r="D1756" s="24"/>
      <c r="E1756" s="24"/>
      <c r="F1756" s="24"/>
      <c r="G1756" s="29"/>
      <c r="H1756" s="24"/>
    </row>
    <row r="1757" spans="2:8" x14ac:dyDescent="0.25">
      <c r="B1757" s="21" t="str" cm="1">
        <f t="array" aca="1" ref="B17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7" s="22" t="str" cm="1">
        <f t="array" aca="1" ref="C17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A1757, "'!C:C")),"NOK"))&gt;0, "NOK", "Pending....")),"")</f>
        <v/>
      </c>
      <c r="D1757" s="24"/>
      <c r="E1757" s="24"/>
      <c r="F1757" s="24"/>
      <c r="G1757" s="29"/>
      <c r="H1757" s="24"/>
    </row>
    <row r="1758" spans="2:8" x14ac:dyDescent="0.25">
      <c r="B1758" s="21" t="str" cm="1">
        <f t="array" aca="1" ref="B17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8" s="22" t="str" cm="1">
        <f t="array" aca="1" ref="C17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A1758, "'!C:C")),"NOK"))&gt;0, "NOK", "Pending....")),"")</f>
        <v/>
      </c>
      <c r="D1758" s="24"/>
      <c r="E1758" s="24"/>
      <c r="F1758" s="24"/>
      <c r="G1758" s="29"/>
      <c r="H1758" s="24"/>
    </row>
    <row r="1759" spans="2:8" x14ac:dyDescent="0.25">
      <c r="B1759" s="21" t="str" cm="1">
        <f t="array" aca="1" ref="B17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59" s="22" t="str" cm="1">
        <f t="array" aca="1" ref="C17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A1759, "'!C:C")),"NOK"))&gt;0, "NOK", "Pending....")),"")</f>
        <v/>
      </c>
      <c r="D1759" s="24"/>
      <c r="E1759" s="24"/>
      <c r="F1759" s="24"/>
      <c r="G1759" s="29"/>
      <c r="H1759" s="24"/>
    </row>
    <row r="1760" spans="2:8" x14ac:dyDescent="0.25">
      <c r="B1760" s="21" t="str" cm="1">
        <f t="array" aca="1" ref="B17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0" s="22" t="str" cm="1">
        <f t="array" aca="1" ref="C17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A1760, "'!C:C")),"NOK"))&gt;0, "NOK", "Pending....")),"")</f>
        <v/>
      </c>
      <c r="D1760" s="24"/>
      <c r="E1760" s="24"/>
      <c r="F1760" s="24"/>
      <c r="G1760" s="29"/>
      <c r="H1760" s="24"/>
    </row>
    <row r="1761" spans="2:8" x14ac:dyDescent="0.25">
      <c r="B1761" s="21" t="str" cm="1">
        <f t="array" aca="1" ref="B17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1" s="22" t="str" cm="1">
        <f t="array" aca="1" ref="C17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A1761, "'!C:C")),"NOK"))&gt;0, "NOK", "Pending....")),"")</f>
        <v/>
      </c>
      <c r="D1761" s="24"/>
      <c r="E1761" s="24"/>
      <c r="F1761" s="24"/>
      <c r="G1761" s="29"/>
      <c r="H1761" s="24"/>
    </row>
    <row r="1762" spans="2:8" x14ac:dyDescent="0.25">
      <c r="B1762" s="21" t="str" cm="1">
        <f t="array" aca="1" ref="B17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2" s="22" t="str" cm="1">
        <f t="array" aca="1" ref="C17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A1762, "'!C:C")),"NOK"))&gt;0, "NOK", "Pending....")),"")</f>
        <v/>
      </c>
      <c r="D1762" s="24"/>
      <c r="E1762" s="24"/>
      <c r="F1762" s="24"/>
      <c r="G1762" s="29"/>
      <c r="H1762" s="24"/>
    </row>
    <row r="1763" spans="2:8" x14ac:dyDescent="0.25">
      <c r="B1763" s="21" t="str" cm="1">
        <f t="array" aca="1" ref="B17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3" s="22" t="str" cm="1">
        <f t="array" aca="1" ref="C17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A1763, "'!C:C")),"NOK"))&gt;0, "NOK", "Pending....")),"")</f>
        <v/>
      </c>
      <c r="D1763" s="24"/>
      <c r="E1763" s="24"/>
      <c r="F1763" s="24"/>
      <c r="G1763" s="29"/>
      <c r="H1763" s="24"/>
    </row>
    <row r="1764" spans="2:8" x14ac:dyDescent="0.25">
      <c r="B1764" s="21" t="str" cm="1">
        <f t="array" aca="1" ref="B17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4" s="22" t="str" cm="1">
        <f t="array" aca="1" ref="C17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A1764, "'!C:C")),"NOK"))&gt;0, "NOK", "Pending....")),"")</f>
        <v/>
      </c>
      <c r="D1764" s="24"/>
      <c r="E1764" s="24"/>
      <c r="F1764" s="24"/>
      <c r="G1764" s="29"/>
      <c r="H1764" s="24"/>
    </row>
    <row r="1765" spans="2:8" x14ac:dyDescent="0.25">
      <c r="B1765" s="21" t="str" cm="1">
        <f t="array" aca="1" ref="B17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5" s="22" t="str" cm="1">
        <f t="array" aca="1" ref="C17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A1765, "'!C:C")),"NOK"))&gt;0, "NOK", "Pending....")),"")</f>
        <v/>
      </c>
      <c r="D1765" s="24"/>
      <c r="E1765" s="24"/>
      <c r="F1765" s="24"/>
      <c r="G1765" s="29"/>
      <c r="H1765" s="24"/>
    </row>
    <row r="1766" spans="2:8" x14ac:dyDescent="0.25">
      <c r="B1766" s="21" t="str" cm="1">
        <f t="array" aca="1" ref="B17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6" s="22" t="str" cm="1">
        <f t="array" aca="1" ref="C17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A1766, "'!C:C")),"NOK"))&gt;0, "NOK", "Pending....")),"")</f>
        <v/>
      </c>
      <c r="D1766" s="24"/>
      <c r="E1766" s="24"/>
      <c r="F1766" s="24"/>
      <c r="G1766" s="29"/>
      <c r="H1766" s="24"/>
    </row>
    <row r="1767" spans="2:8" x14ac:dyDescent="0.25">
      <c r="B1767" s="21" t="str" cm="1">
        <f t="array" aca="1" ref="B17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7" s="22" t="str" cm="1">
        <f t="array" aca="1" ref="C17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A1767, "'!C:C")),"NOK"))&gt;0, "NOK", "Pending....")),"")</f>
        <v/>
      </c>
      <c r="D1767" s="24"/>
      <c r="E1767" s="24"/>
      <c r="F1767" s="24"/>
      <c r="G1767" s="29"/>
      <c r="H1767" s="24"/>
    </row>
    <row r="1768" spans="2:8" x14ac:dyDescent="0.25">
      <c r="B1768" s="21" t="str" cm="1">
        <f t="array" aca="1" ref="B17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8" s="22" t="str" cm="1">
        <f t="array" aca="1" ref="C17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A1768, "'!C:C")),"NOK"))&gt;0, "NOK", "Pending....")),"")</f>
        <v/>
      </c>
      <c r="D1768" s="24"/>
      <c r="E1768" s="24"/>
      <c r="F1768" s="24"/>
      <c r="G1768" s="29"/>
      <c r="H1768" s="24"/>
    </row>
    <row r="1769" spans="2:8" x14ac:dyDescent="0.25">
      <c r="B1769" s="21" t="str" cm="1">
        <f t="array" aca="1" ref="B17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69" s="22" t="str" cm="1">
        <f t="array" aca="1" ref="C17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A1769, "'!C:C")),"NOK"))&gt;0, "NOK", "Pending....")),"")</f>
        <v/>
      </c>
      <c r="D1769" s="24"/>
      <c r="E1769" s="24"/>
      <c r="F1769" s="24"/>
      <c r="G1769" s="29"/>
      <c r="H1769" s="24"/>
    </row>
    <row r="1770" spans="2:8" x14ac:dyDescent="0.25">
      <c r="B1770" s="21" t="str" cm="1">
        <f t="array" aca="1" ref="B17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0" s="22" t="str" cm="1">
        <f t="array" aca="1" ref="C17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A1770, "'!C:C")),"NOK"))&gt;0, "NOK", "Pending....")),"")</f>
        <v/>
      </c>
      <c r="D1770" s="24"/>
      <c r="E1770" s="24"/>
      <c r="F1770" s="24"/>
      <c r="G1770" s="29"/>
      <c r="H1770" s="24"/>
    </row>
    <row r="1771" spans="2:8" x14ac:dyDescent="0.25">
      <c r="B1771" s="21" t="str" cm="1">
        <f t="array" aca="1" ref="B17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1" s="22" t="str" cm="1">
        <f t="array" aca="1" ref="C17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A1771, "'!C:C")),"NOK"))&gt;0, "NOK", "Pending....")),"")</f>
        <v/>
      </c>
      <c r="D1771" s="24"/>
      <c r="E1771" s="24"/>
      <c r="F1771" s="24"/>
      <c r="G1771" s="29"/>
      <c r="H1771" s="24"/>
    </row>
    <row r="1772" spans="2:8" x14ac:dyDescent="0.25">
      <c r="B1772" s="21" t="str" cm="1">
        <f t="array" aca="1" ref="B17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2" s="22" t="str" cm="1">
        <f t="array" aca="1" ref="C17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A1772, "'!C:C")),"NOK"))&gt;0, "NOK", "Pending....")),"")</f>
        <v/>
      </c>
      <c r="D1772" s="24"/>
      <c r="E1772" s="24"/>
      <c r="F1772" s="24"/>
      <c r="G1772" s="29"/>
      <c r="H1772" s="24"/>
    </row>
    <row r="1773" spans="2:8" x14ac:dyDescent="0.25">
      <c r="B1773" s="21" t="str" cm="1">
        <f t="array" aca="1" ref="B17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3" s="22" t="str" cm="1">
        <f t="array" aca="1" ref="C17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A1773, "'!C:C")),"NOK"))&gt;0, "NOK", "Pending....")),"")</f>
        <v/>
      </c>
      <c r="D1773" s="24"/>
      <c r="E1773" s="24"/>
      <c r="F1773" s="24"/>
      <c r="G1773" s="29"/>
      <c r="H1773" s="24"/>
    </row>
    <row r="1774" spans="2:8" x14ac:dyDescent="0.25">
      <c r="B1774" s="21" t="str" cm="1">
        <f t="array" aca="1" ref="B17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4" s="22" t="str" cm="1">
        <f t="array" aca="1" ref="C17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A1774, "'!C:C")),"NOK"))&gt;0, "NOK", "Pending....")),"")</f>
        <v/>
      </c>
      <c r="D1774" s="24"/>
      <c r="E1774" s="24"/>
      <c r="F1774" s="24"/>
      <c r="G1774" s="29"/>
      <c r="H1774" s="24"/>
    </row>
    <row r="1775" spans="2:8" x14ac:dyDescent="0.25">
      <c r="B1775" s="21" t="str" cm="1">
        <f t="array" aca="1" ref="B17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5" s="22" t="str" cm="1">
        <f t="array" aca="1" ref="C17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A1775, "'!C:C")),"NOK"))&gt;0, "NOK", "Pending....")),"")</f>
        <v/>
      </c>
      <c r="D1775" s="24"/>
      <c r="E1775" s="24"/>
      <c r="F1775" s="24"/>
      <c r="G1775" s="29"/>
      <c r="H1775" s="24"/>
    </row>
    <row r="1776" spans="2:8" x14ac:dyDescent="0.25">
      <c r="B1776" s="21" t="str" cm="1">
        <f t="array" aca="1" ref="B17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6" s="22" t="str" cm="1">
        <f t="array" aca="1" ref="C17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A1776, "'!C:C")),"NOK"))&gt;0, "NOK", "Pending....")),"")</f>
        <v/>
      </c>
      <c r="D1776" s="24"/>
      <c r="E1776" s="24"/>
      <c r="F1776" s="24"/>
      <c r="G1776" s="29"/>
      <c r="H1776" s="24"/>
    </row>
    <row r="1777" spans="2:8" x14ac:dyDescent="0.25">
      <c r="B1777" s="21" t="str" cm="1">
        <f t="array" aca="1" ref="B17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7" s="22" t="str" cm="1">
        <f t="array" aca="1" ref="C17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A1777, "'!C:C")),"NOK"))&gt;0, "NOK", "Pending....")),"")</f>
        <v/>
      </c>
      <c r="D1777" s="24"/>
      <c r="E1777" s="24"/>
      <c r="F1777" s="24"/>
      <c r="G1777" s="29"/>
      <c r="H1777" s="24"/>
    </row>
    <row r="1778" spans="2:8" x14ac:dyDescent="0.25">
      <c r="B1778" s="21" t="str" cm="1">
        <f t="array" aca="1" ref="B17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8" s="22" t="str" cm="1">
        <f t="array" aca="1" ref="C17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A1778, "'!C:C")),"NOK"))&gt;0, "NOK", "Pending....")),"")</f>
        <v/>
      </c>
      <c r="D1778" s="24"/>
      <c r="E1778" s="24"/>
      <c r="F1778" s="24"/>
      <c r="G1778" s="29"/>
      <c r="H1778" s="24"/>
    </row>
    <row r="1779" spans="2:8" x14ac:dyDescent="0.25">
      <c r="B1779" s="21" t="str" cm="1">
        <f t="array" aca="1" ref="B17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79" s="22" t="str" cm="1">
        <f t="array" aca="1" ref="C17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A1779, "'!C:C")),"NOK"))&gt;0, "NOK", "Pending....")),"")</f>
        <v/>
      </c>
      <c r="D1779" s="24"/>
      <c r="E1779" s="24"/>
      <c r="F1779" s="24"/>
      <c r="G1779" s="29"/>
      <c r="H1779" s="24"/>
    </row>
    <row r="1780" spans="2:8" x14ac:dyDescent="0.25">
      <c r="B1780" s="21" t="str" cm="1">
        <f t="array" aca="1" ref="B17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0" s="22" t="str" cm="1">
        <f t="array" aca="1" ref="C17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A1780, "'!C:C")),"NOK"))&gt;0, "NOK", "Pending....")),"")</f>
        <v/>
      </c>
      <c r="D1780" s="24"/>
      <c r="E1780" s="24"/>
      <c r="F1780" s="24"/>
      <c r="G1780" s="29"/>
      <c r="H1780" s="24"/>
    </row>
    <row r="1781" spans="2:8" x14ac:dyDescent="0.25">
      <c r="B1781" s="21" t="str" cm="1">
        <f t="array" aca="1" ref="B17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1" s="22" t="str" cm="1">
        <f t="array" aca="1" ref="C17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A1781, "'!C:C")),"NOK"))&gt;0, "NOK", "Pending....")),"")</f>
        <v/>
      </c>
      <c r="D1781" s="24"/>
      <c r="E1781" s="24"/>
      <c r="F1781" s="24"/>
      <c r="G1781" s="29"/>
      <c r="H1781" s="24"/>
    </row>
    <row r="1782" spans="2:8" x14ac:dyDescent="0.25">
      <c r="B1782" s="21" t="str" cm="1">
        <f t="array" aca="1" ref="B17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2" s="22" t="str" cm="1">
        <f t="array" aca="1" ref="C17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A1782, "'!C:C")),"NOK"))&gt;0, "NOK", "Pending....")),"")</f>
        <v/>
      </c>
      <c r="D1782" s="24"/>
      <c r="E1782" s="24"/>
      <c r="F1782" s="24"/>
      <c r="G1782" s="29"/>
      <c r="H1782" s="24"/>
    </row>
    <row r="1783" spans="2:8" x14ac:dyDescent="0.25">
      <c r="B1783" s="21" t="str" cm="1">
        <f t="array" aca="1" ref="B17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3" s="22" t="str" cm="1">
        <f t="array" aca="1" ref="C17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A1783, "'!C:C")),"NOK"))&gt;0, "NOK", "Pending....")),"")</f>
        <v/>
      </c>
      <c r="D1783" s="24"/>
      <c r="E1783" s="24"/>
      <c r="F1783" s="24"/>
      <c r="G1783" s="29"/>
      <c r="H1783" s="24"/>
    </row>
    <row r="1784" spans="2:8" x14ac:dyDescent="0.25">
      <c r="B1784" s="21" t="str" cm="1">
        <f t="array" aca="1" ref="B17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4" s="22" t="str" cm="1">
        <f t="array" aca="1" ref="C17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A1784, "'!C:C")),"NOK"))&gt;0, "NOK", "Pending....")),"")</f>
        <v/>
      </c>
      <c r="D1784" s="24"/>
      <c r="E1784" s="24"/>
      <c r="F1784" s="24"/>
      <c r="G1784" s="29"/>
      <c r="H1784" s="24"/>
    </row>
    <row r="1785" spans="2:8" x14ac:dyDescent="0.25">
      <c r="B1785" s="21" t="str" cm="1">
        <f t="array" aca="1" ref="B17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5" s="22" t="str" cm="1">
        <f t="array" aca="1" ref="C17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A1785, "'!C:C")),"NOK"))&gt;0, "NOK", "Pending....")),"")</f>
        <v/>
      </c>
      <c r="D1785" s="24"/>
      <c r="E1785" s="24"/>
      <c r="F1785" s="24"/>
      <c r="G1785" s="29"/>
      <c r="H1785" s="24"/>
    </row>
    <row r="1786" spans="2:8" x14ac:dyDescent="0.25">
      <c r="B1786" s="21" t="str" cm="1">
        <f t="array" aca="1" ref="B17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6" s="22" t="str" cm="1">
        <f t="array" aca="1" ref="C17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A1786, "'!C:C")),"NOK"))&gt;0, "NOK", "Pending....")),"")</f>
        <v/>
      </c>
      <c r="D1786" s="24"/>
      <c r="E1786" s="24"/>
      <c r="F1786" s="24"/>
      <c r="G1786" s="29"/>
      <c r="H1786" s="24"/>
    </row>
    <row r="1787" spans="2:8" x14ac:dyDescent="0.25">
      <c r="B1787" s="21" t="str" cm="1">
        <f t="array" aca="1" ref="B17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7" s="22" t="str" cm="1">
        <f t="array" aca="1" ref="C17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A1787, "'!C:C")),"NOK"))&gt;0, "NOK", "Pending....")),"")</f>
        <v/>
      </c>
      <c r="D1787" s="24"/>
      <c r="E1787" s="24"/>
      <c r="F1787" s="24"/>
      <c r="G1787" s="29"/>
      <c r="H1787" s="24"/>
    </row>
    <row r="1788" spans="2:8" x14ac:dyDescent="0.25">
      <c r="B1788" s="21" t="str" cm="1">
        <f t="array" aca="1" ref="B17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8" s="22" t="str" cm="1">
        <f t="array" aca="1" ref="C17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A1788, "'!C:C")),"NOK"))&gt;0, "NOK", "Pending....")),"")</f>
        <v/>
      </c>
      <c r="D1788" s="24"/>
      <c r="E1788" s="24"/>
      <c r="F1788" s="24"/>
      <c r="G1788" s="29"/>
      <c r="H1788" s="24"/>
    </row>
    <row r="1789" spans="2:8" x14ac:dyDescent="0.25">
      <c r="B1789" s="21" t="str" cm="1">
        <f t="array" aca="1" ref="B17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89" s="22" t="str" cm="1">
        <f t="array" aca="1" ref="C17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A1789, "'!C:C")),"NOK"))&gt;0, "NOK", "Pending....")),"")</f>
        <v/>
      </c>
      <c r="D1789" s="24"/>
      <c r="E1789" s="24"/>
      <c r="F1789" s="24"/>
      <c r="G1789" s="29"/>
      <c r="H1789" s="24"/>
    </row>
    <row r="1790" spans="2:8" x14ac:dyDescent="0.25">
      <c r="B1790" s="21" t="str" cm="1">
        <f t="array" aca="1" ref="B17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0" s="22" t="str" cm="1">
        <f t="array" aca="1" ref="C17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A1790, "'!C:C")),"NOK"))&gt;0, "NOK", "Pending....")),"")</f>
        <v/>
      </c>
      <c r="D1790" s="24"/>
      <c r="E1790" s="24"/>
      <c r="F1790" s="24"/>
      <c r="G1790" s="29"/>
      <c r="H1790" s="24"/>
    </row>
    <row r="1791" spans="2:8" x14ac:dyDescent="0.25">
      <c r="B1791" s="21" t="str" cm="1">
        <f t="array" aca="1" ref="B17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1" s="22" t="str" cm="1">
        <f t="array" aca="1" ref="C17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A1791, "'!C:C")),"NOK"))&gt;0, "NOK", "Pending....")),"")</f>
        <v/>
      </c>
      <c r="D1791" s="24"/>
      <c r="E1791" s="24"/>
      <c r="F1791" s="24"/>
      <c r="G1791" s="29"/>
      <c r="H1791" s="24"/>
    </row>
    <row r="1792" spans="2:8" x14ac:dyDescent="0.25">
      <c r="B1792" s="21" t="str" cm="1">
        <f t="array" aca="1" ref="B17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2" s="22" t="str" cm="1">
        <f t="array" aca="1" ref="C17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A1792, "'!C:C")),"NOK"))&gt;0, "NOK", "Pending....")),"")</f>
        <v/>
      </c>
      <c r="D1792" s="24"/>
      <c r="E1792" s="24"/>
      <c r="F1792" s="24"/>
      <c r="G1792" s="29"/>
      <c r="H1792" s="24"/>
    </row>
    <row r="1793" spans="2:8" x14ac:dyDescent="0.25">
      <c r="B1793" s="21" t="str" cm="1">
        <f t="array" aca="1" ref="B17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3" s="22" t="str" cm="1">
        <f t="array" aca="1" ref="C17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A1793, "'!C:C")),"NOK"))&gt;0, "NOK", "Pending....")),"")</f>
        <v/>
      </c>
      <c r="D1793" s="24"/>
      <c r="E1793" s="24"/>
      <c r="F1793" s="24"/>
      <c r="G1793" s="29"/>
      <c r="H1793" s="24"/>
    </row>
    <row r="1794" spans="2:8" x14ac:dyDescent="0.25">
      <c r="B1794" s="21" t="str" cm="1">
        <f t="array" aca="1" ref="B17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4" s="22" t="str" cm="1">
        <f t="array" aca="1" ref="C17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A1794, "'!C:C")),"NOK"))&gt;0, "NOK", "Pending....")),"")</f>
        <v/>
      </c>
      <c r="D1794" s="24"/>
      <c r="E1794" s="24"/>
      <c r="F1794" s="24"/>
      <c r="G1794" s="29"/>
      <c r="H1794" s="24"/>
    </row>
    <row r="1795" spans="2:8" x14ac:dyDescent="0.25">
      <c r="B1795" s="21" t="str" cm="1">
        <f t="array" aca="1" ref="B17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5" s="22" t="str" cm="1">
        <f t="array" aca="1" ref="C17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A1795, "'!C:C")),"NOK"))&gt;0, "NOK", "Pending....")),"")</f>
        <v/>
      </c>
      <c r="D1795" s="24"/>
      <c r="E1795" s="24"/>
      <c r="F1795" s="24"/>
      <c r="G1795" s="29"/>
      <c r="H1795" s="24"/>
    </row>
    <row r="1796" spans="2:8" x14ac:dyDescent="0.25">
      <c r="B1796" s="21" t="str" cm="1">
        <f t="array" aca="1" ref="B17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6" s="22" t="str" cm="1">
        <f t="array" aca="1" ref="C17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A1796, "'!C:C")),"NOK"))&gt;0, "NOK", "Pending....")),"")</f>
        <v/>
      </c>
      <c r="D1796" s="24"/>
      <c r="E1796" s="24"/>
      <c r="F1796" s="24"/>
      <c r="G1796" s="29"/>
      <c r="H1796" s="24"/>
    </row>
    <row r="1797" spans="2:8" x14ac:dyDescent="0.25">
      <c r="B1797" s="21" t="str" cm="1">
        <f t="array" aca="1" ref="B17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7" s="22" t="str" cm="1">
        <f t="array" aca="1" ref="C17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A1797, "'!C:C")),"NOK"))&gt;0, "NOK", "Pending....")),"")</f>
        <v/>
      </c>
      <c r="D1797" s="24"/>
      <c r="E1797" s="24"/>
      <c r="F1797" s="24"/>
      <c r="G1797" s="29"/>
      <c r="H1797" s="24"/>
    </row>
    <row r="1798" spans="2:8" x14ac:dyDescent="0.25">
      <c r="B1798" s="21" t="str" cm="1">
        <f t="array" aca="1" ref="B17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8" s="22" t="str" cm="1">
        <f t="array" aca="1" ref="C17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A1798, "'!C:C")),"NOK"))&gt;0, "NOK", "Pending....")),"")</f>
        <v/>
      </c>
      <c r="D1798" s="24"/>
      <c r="E1798" s="24"/>
      <c r="F1798" s="24"/>
      <c r="G1798" s="29"/>
      <c r="H1798" s="24"/>
    </row>
    <row r="1799" spans="2:8" x14ac:dyDescent="0.25">
      <c r="B1799" s="21" t="str" cm="1">
        <f t="array" aca="1" ref="B17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799" s="22" t="str" cm="1">
        <f t="array" aca="1" ref="C17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A1799, "'!C:C")),"NOK"))&gt;0, "NOK", "Pending....")),"")</f>
        <v/>
      </c>
      <c r="D1799" s="24"/>
      <c r="E1799" s="24"/>
      <c r="F1799" s="24"/>
      <c r="G1799" s="29"/>
      <c r="H1799" s="24"/>
    </row>
    <row r="1800" spans="2:8" x14ac:dyDescent="0.25">
      <c r="B1800" s="21" t="str" cm="1">
        <f t="array" aca="1" ref="B18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0" s="22" t="str" cm="1">
        <f t="array" aca="1" ref="C18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A1800, "'!C:C")),"NOK"))&gt;0, "NOK", "Pending....")),"")</f>
        <v/>
      </c>
      <c r="D1800" s="24"/>
      <c r="E1800" s="24"/>
      <c r="F1800" s="24"/>
      <c r="G1800" s="29"/>
      <c r="H1800" s="24"/>
    </row>
    <row r="1801" spans="2:8" x14ac:dyDescent="0.25">
      <c r="B1801" s="21" t="str" cm="1">
        <f t="array" aca="1" ref="B18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1" s="22" t="str" cm="1">
        <f t="array" aca="1" ref="C18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A1801, "'!C:C")),"NOK"))&gt;0, "NOK", "Pending....")),"")</f>
        <v/>
      </c>
      <c r="D1801" s="24"/>
      <c r="E1801" s="24"/>
      <c r="F1801" s="24"/>
      <c r="G1801" s="29"/>
      <c r="H1801" s="24"/>
    </row>
    <row r="1802" spans="2:8" x14ac:dyDescent="0.25">
      <c r="B1802" s="21" t="str" cm="1">
        <f t="array" aca="1" ref="B18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2" s="22" t="str" cm="1">
        <f t="array" aca="1" ref="C18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A1802, "'!C:C")),"NOK"))&gt;0, "NOK", "Pending....")),"")</f>
        <v/>
      </c>
      <c r="D1802" s="24"/>
      <c r="E1802" s="24"/>
      <c r="F1802" s="24"/>
      <c r="G1802" s="29"/>
      <c r="H1802" s="24"/>
    </row>
    <row r="1803" spans="2:8" x14ac:dyDescent="0.25">
      <c r="B1803" s="21" t="str" cm="1">
        <f t="array" aca="1" ref="B18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3" s="22" t="str" cm="1">
        <f t="array" aca="1" ref="C18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A1803, "'!C:C")),"NOK"))&gt;0, "NOK", "Pending....")),"")</f>
        <v/>
      </c>
      <c r="D1803" s="24"/>
      <c r="E1803" s="24"/>
      <c r="F1803" s="24"/>
      <c r="G1803" s="29"/>
      <c r="H1803" s="24"/>
    </row>
    <row r="1804" spans="2:8" x14ac:dyDescent="0.25">
      <c r="B1804" s="21" t="str" cm="1">
        <f t="array" aca="1" ref="B18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4" s="22" t="str" cm="1">
        <f t="array" aca="1" ref="C18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A1804, "'!C:C")),"NOK"))&gt;0, "NOK", "Pending....")),"")</f>
        <v/>
      </c>
      <c r="D1804" s="24"/>
      <c r="E1804" s="24"/>
      <c r="F1804" s="24"/>
      <c r="G1804" s="29"/>
      <c r="H1804" s="24"/>
    </row>
    <row r="1805" spans="2:8" x14ac:dyDescent="0.25">
      <c r="B1805" s="21" t="str" cm="1">
        <f t="array" aca="1" ref="B18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5" s="22" t="str" cm="1">
        <f t="array" aca="1" ref="C18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A1805, "'!C:C")),"NOK"))&gt;0, "NOK", "Pending....")),"")</f>
        <v/>
      </c>
      <c r="D1805" s="24"/>
      <c r="E1805" s="24"/>
      <c r="F1805" s="24"/>
      <c r="G1805" s="29"/>
      <c r="H1805" s="24"/>
    </row>
    <row r="1806" spans="2:8" x14ac:dyDescent="0.25">
      <c r="B1806" s="21" t="str" cm="1">
        <f t="array" aca="1" ref="B18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6" s="22" t="str" cm="1">
        <f t="array" aca="1" ref="C18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A1806, "'!C:C")),"NOK"))&gt;0, "NOK", "Pending....")),"")</f>
        <v/>
      </c>
      <c r="D1806" s="24"/>
      <c r="E1806" s="24"/>
      <c r="F1806" s="24"/>
      <c r="G1806" s="29"/>
      <c r="H1806" s="24"/>
    </row>
    <row r="1807" spans="2:8" x14ac:dyDescent="0.25">
      <c r="B1807" s="21" t="str" cm="1">
        <f t="array" aca="1" ref="B18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7" s="22" t="str" cm="1">
        <f t="array" aca="1" ref="C18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A1807, "'!C:C")),"NOK"))&gt;0, "NOK", "Pending....")),"")</f>
        <v/>
      </c>
      <c r="D1807" s="24"/>
      <c r="E1807" s="24"/>
      <c r="F1807" s="24"/>
      <c r="G1807" s="29"/>
      <c r="H1807" s="24"/>
    </row>
    <row r="1808" spans="2:8" x14ac:dyDescent="0.25">
      <c r="B1808" s="21" t="str" cm="1">
        <f t="array" aca="1" ref="B18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8" s="22" t="str" cm="1">
        <f t="array" aca="1" ref="C18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A1808, "'!C:C")),"NOK"))&gt;0, "NOK", "Pending....")),"")</f>
        <v/>
      </c>
      <c r="D1808" s="24"/>
      <c r="E1808" s="24"/>
      <c r="F1808" s="24"/>
      <c r="G1808" s="29"/>
      <c r="H1808" s="24"/>
    </row>
    <row r="1809" spans="2:8" x14ac:dyDescent="0.25">
      <c r="B1809" s="21" t="str" cm="1">
        <f t="array" aca="1" ref="B18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09" s="22" t="str" cm="1">
        <f t="array" aca="1" ref="C18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A1809, "'!C:C")),"NOK"))&gt;0, "NOK", "Pending....")),"")</f>
        <v/>
      </c>
      <c r="D1809" s="24"/>
      <c r="E1809" s="24"/>
      <c r="F1809" s="24"/>
      <c r="G1809" s="29"/>
      <c r="H1809" s="24"/>
    </row>
    <row r="1810" spans="2:8" x14ac:dyDescent="0.25">
      <c r="B1810" s="21" t="str" cm="1">
        <f t="array" aca="1" ref="B18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0" s="22" t="str" cm="1">
        <f t="array" aca="1" ref="C18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A1810, "'!C:C")),"NOK"))&gt;0, "NOK", "Pending....")),"")</f>
        <v/>
      </c>
      <c r="D1810" s="24"/>
      <c r="E1810" s="24"/>
      <c r="F1810" s="24"/>
      <c r="G1810" s="29"/>
      <c r="H1810" s="24"/>
    </row>
    <row r="1811" spans="2:8" x14ac:dyDescent="0.25">
      <c r="B1811" s="21" t="str" cm="1">
        <f t="array" aca="1" ref="B18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1" s="22" t="str" cm="1">
        <f t="array" aca="1" ref="C18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A1811, "'!C:C")),"NOK"))&gt;0, "NOK", "Pending....")),"")</f>
        <v/>
      </c>
      <c r="D1811" s="24"/>
      <c r="E1811" s="24"/>
      <c r="F1811" s="24"/>
      <c r="G1811" s="29"/>
      <c r="H1811" s="24"/>
    </row>
    <row r="1812" spans="2:8" x14ac:dyDescent="0.25">
      <c r="B1812" s="21" t="str" cm="1">
        <f t="array" aca="1" ref="B18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2" s="22" t="str" cm="1">
        <f t="array" aca="1" ref="C18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A1812, "'!C:C")),"NOK"))&gt;0, "NOK", "Pending....")),"")</f>
        <v/>
      </c>
      <c r="D1812" s="24"/>
      <c r="E1812" s="24"/>
      <c r="F1812" s="24"/>
      <c r="G1812" s="29"/>
      <c r="H1812" s="24"/>
    </row>
    <row r="1813" spans="2:8" x14ac:dyDescent="0.25">
      <c r="B1813" s="21" t="str" cm="1">
        <f t="array" aca="1" ref="B18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3" s="22" t="str" cm="1">
        <f t="array" aca="1" ref="C18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A1813, "'!C:C")),"NOK"))&gt;0, "NOK", "Pending....")),"")</f>
        <v/>
      </c>
      <c r="D1813" s="24"/>
      <c r="E1813" s="24"/>
      <c r="F1813" s="24"/>
      <c r="G1813" s="29"/>
      <c r="H1813" s="24"/>
    </row>
    <row r="1814" spans="2:8" x14ac:dyDescent="0.25">
      <c r="B1814" s="21" t="str" cm="1">
        <f t="array" aca="1" ref="B18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4" s="22" t="str" cm="1">
        <f t="array" aca="1" ref="C18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A1814, "'!C:C")),"NOK"))&gt;0, "NOK", "Pending....")),"")</f>
        <v/>
      </c>
      <c r="D1814" s="24"/>
      <c r="E1814" s="24"/>
      <c r="F1814" s="24"/>
      <c r="G1814" s="29"/>
      <c r="H1814" s="24"/>
    </row>
    <row r="1815" spans="2:8" x14ac:dyDescent="0.25">
      <c r="B1815" s="21" t="str" cm="1">
        <f t="array" aca="1" ref="B18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5" s="22" t="str" cm="1">
        <f t="array" aca="1" ref="C18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A1815, "'!C:C")),"NOK"))&gt;0, "NOK", "Pending....")),"")</f>
        <v/>
      </c>
      <c r="D1815" s="24"/>
      <c r="E1815" s="24"/>
      <c r="F1815" s="24"/>
      <c r="G1815" s="29"/>
      <c r="H1815" s="24"/>
    </row>
    <row r="1816" spans="2:8" x14ac:dyDescent="0.25">
      <c r="B1816" s="21" t="str" cm="1">
        <f t="array" aca="1" ref="B18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6" s="22" t="str" cm="1">
        <f t="array" aca="1" ref="C18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A1816, "'!C:C")),"NOK"))&gt;0, "NOK", "Pending....")),"")</f>
        <v/>
      </c>
      <c r="D1816" s="24"/>
      <c r="E1816" s="24"/>
      <c r="F1816" s="24"/>
      <c r="G1816" s="29"/>
      <c r="H1816" s="24"/>
    </row>
    <row r="1817" spans="2:8" x14ac:dyDescent="0.25">
      <c r="B1817" s="21" t="str" cm="1">
        <f t="array" aca="1" ref="B18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7" s="22" t="str" cm="1">
        <f t="array" aca="1" ref="C18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A1817, "'!C:C")),"NOK"))&gt;0, "NOK", "Pending....")),"")</f>
        <v/>
      </c>
      <c r="D1817" s="24"/>
      <c r="E1817" s="24"/>
      <c r="F1817" s="24"/>
      <c r="G1817" s="29"/>
      <c r="H1817" s="24"/>
    </row>
    <row r="1818" spans="2:8" x14ac:dyDescent="0.25">
      <c r="B1818" s="21" t="str" cm="1">
        <f t="array" aca="1" ref="B18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8" s="22" t="str" cm="1">
        <f t="array" aca="1" ref="C18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A1818, "'!C:C")),"NOK"))&gt;0, "NOK", "Pending....")),"")</f>
        <v/>
      </c>
      <c r="D1818" s="24"/>
      <c r="E1818" s="24"/>
      <c r="F1818" s="24"/>
      <c r="G1818" s="29"/>
      <c r="H1818" s="24"/>
    </row>
    <row r="1819" spans="2:8" x14ac:dyDescent="0.25">
      <c r="B1819" s="21" t="str" cm="1">
        <f t="array" aca="1" ref="B18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19" s="22" t="str" cm="1">
        <f t="array" aca="1" ref="C18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A1819, "'!C:C")),"NOK"))&gt;0, "NOK", "Pending....")),"")</f>
        <v/>
      </c>
      <c r="D1819" s="24"/>
      <c r="E1819" s="24"/>
      <c r="F1819" s="24"/>
      <c r="G1819" s="29"/>
      <c r="H1819" s="24"/>
    </row>
    <row r="1820" spans="2:8" x14ac:dyDescent="0.25">
      <c r="B1820" s="21" t="str" cm="1">
        <f t="array" aca="1" ref="B18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0" s="22" t="str" cm="1">
        <f t="array" aca="1" ref="C18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A1820, "'!C:C")),"NOK"))&gt;0, "NOK", "Pending....")),"")</f>
        <v/>
      </c>
      <c r="D1820" s="24"/>
      <c r="E1820" s="24"/>
      <c r="F1820" s="24"/>
      <c r="G1820" s="29"/>
      <c r="H1820" s="24"/>
    </row>
    <row r="1821" spans="2:8" x14ac:dyDescent="0.25">
      <c r="B1821" s="21" t="str" cm="1">
        <f t="array" aca="1" ref="B18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1" s="22" t="str" cm="1">
        <f t="array" aca="1" ref="C18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A1821, "'!C:C")),"NOK"))&gt;0, "NOK", "Pending....")),"")</f>
        <v/>
      </c>
      <c r="D1821" s="24"/>
      <c r="E1821" s="24"/>
      <c r="F1821" s="24"/>
      <c r="G1821" s="29"/>
      <c r="H1821" s="24"/>
    </row>
    <row r="1822" spans="2:8" x14ac:dyDescent="0.25">
      <c r="B1822" s="21" t="str" cm="1">
        <f t="array" aca="1" ref="B18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2" s="22" t="str" cm="1">
        <f t="array" aca="1" ref="C18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A1822, "'!C:C")),"NOK"))&gt;0, "NOK", "Pending....")),"")</f>
        <v/>
      </c>
      <c r="D1822" s="24"/>
      <c r="E1822" s="24"/>
      <c r="F1822" s="24"/>
      <c r="G1822" s="29"/>
      <c r="H1822" s="24"/>
    </row>
    <row r="1823" spans="2:8" x14ac:dyDescent="0.25">
      <c r="B1823" s="21" t="str" cm="1">
        <f t="array" aca="1" ref="B18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3" s="22" t="str" cm="1">
        <f t="array" aca="1" ref="C18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A1823, "'!C:C")),"NOK"))&gt;0, "NOK", "Pending....")),"")</f>
        <v/>
      </c>
      <c r="D1823" s="24"/>
      <c r="E1823" s="24"/>
      <c r="F1823" s="24"/>
      <c r="G1823" s="29"/>
      <c r="H1823" s="24"/>
    </row>
    <row r="1824" spans="2:8" x14ac:dyDescent="0.25">
      <c r="B1824" s="21" t="str" cm="1">
        <f t="array" aca="1" ref="B18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4" s="22" t="str" cm="1">
        <f t="array" aca="1" ref="C18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A1824, "'!C:C")),"NOK"))&gt;0, "NOK", "Pending....")),"")</f>
        <v/>
      </c>
      <c r="D1824" s="24"/>
      <c r="E1824" s="24"/>
      <c r="F1824" s="24"/>
      <c r="G1824" s="29"/>
      <c r="H1824" s="24"/>
    </row>
    <row r="1825" spans="2:8" x14ac:dyDescent="0.25">
      <c r="B1825" s="21" t="str" cm="1">
        <f t="array" aca="1" ref="B18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5" s="22" t="str" cm="1">
        <f t="array" aca="1" ref="C18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A1825, "'!C:C")),"NOK"))&gt;0, "NOK", "Pending....")),"")</f>
        <v/>
      </c>
      <c r="D1825" s="24"/>
      <c r="E1825" s="24"/>
      <c r="F1825" s="24"/>
      <c r="G1825" s="29"/>
      <c r="H1825" s="24"/>
    </row>
    <row r="1826" spans="2:8" x14ac:dyDescent="0.25">
      <c r="B1826" s="21" t="str" cm="1">
        <f t="array" aca="1" ref="B18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6" s="22" t="str" cm="1">
        <f t="array" aca="1" ref="C18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A1826, "'!C:C")),"NOK"))&gt;0, "NOK", "Pending....")),"")</f>
        <v/>
      </c>
      <c r="D1826" s="24"/>
      <c r="E1826" s="24"/>
      <c r="F1826" s="24"/>
      <c r="G1826" s="29"/>
      <c r="H1826" s="24"/>
    </row>
    <row r="1827" spans="2:8" x14ac:dyDescent="0.25">
      <c r="B1827" s="21" t="str" cm="1">
        <f t="array" aca="1" ref="B18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7" s="22" t="str" cm="1">
        <f t="array" aca="1" ref="C18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A1827, "'!C:C")),"NOK"))&gt;0, "NOK", "Pending....")),"")</f>
        <v/>
      </c>
      <c r="D1827" s="24"/>
      <c r="E1827" s="24"/>
      <c r="F1827" s="24"/>
      <c r="G1827" s="29"/>
      <c r="H1827" s="24"/>
    </row>
    <row r="1828" spans="2:8" x14ac:dyDescent="0.25">
      <c r="B1828" s="21" t="str" cm="1">
        <f t="array" aca="1" ref="B18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8" s="22" t="str" cm="1">
        <f t="array" aca="1" ref="C18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A1828, "'!C:C")),"NOK"))&gt;0, "NOK", "Pending....")),"")</f>
        <v/>
      </c>
      <c r="D1828" s="24"/>
      <c r="E1828" s="24"/>
      <c r="F1828" s="24"/>
      <c r="G1828" s="29"/>
      <c r="H1828" s="24"/>
    </row>
    <row r="1829" spans="2:8" x14ac:dyDescent="0.25">
      <c r="B1829" s="21" t="str" cm="1">
        <f t="array" aca="1" ref="B18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29" s="22" t="str" cm="1">
        <f t="array" aca="1" ref="C18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A1829, "'!C:C")),"NOK"))&gt;0, "NOK", "Pending....")),"")</f>
        <v/>
      </c>
      <c r="D1829" s="24"/>
      <c r="E1829" s="24"/>
      <c r="F1829" s="24"/>
      <c r="G1829" s="29"/>
      <c r="H1829" s="24"/>
    </row>
    <row r="1830" spans="2:8" x14ac:dyDescent="0.25">
      <c r="B1830" s="21" t="str" cm="1">
        <f t="array" aca="1" ref="B18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0" s="22" t="str" cm="1">
        <f t="array" aca="1" ref="C18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A1830, "'!C:C")),"NOK"))&gt;0, "NOK", "Pending....")),"")</f>
        <v/>
      </c>
      <c r="D1830" s="24"/>
      <c r="E1830" s="24"/>
      <c r="F1830" s="24"/>
      <c r="G1830" s="29"/>
      <c r="H1830" s="24"/>
    </row>
    <row r="1831" spans="2:8" x14ac:dyDescent="0.25">
      <c r="B1831" s="21" t="str" cm="1">
        <f t="array" aca="1" ref="B18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1" s="22" t="str" cm="1">
        <f t="array" aca="1" ref="C18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A1831, "'!C:C")),"NOK"))&gt;0, "NOK", "Pending....")),"")</f>
        <v/>
      </c>
      <c r="D1831" s="24"/>
      <c r="E1831" s="24"/>
      <c r="F1831" s="24"/>
      <c r="G1831" s="29"/>
      <c r="H1831" s="24"/>
    </row>
    <row r="1832" spans="2:8" x14ac:dyDescent="0.25">
      <c r="B1832" s="21" t="str" cm="1">
        <f t="array" aca="1" ref="B18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2" s="22" t="str" cm="1">
        <f t="array" aca="1" ref="C18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A1832, "'!C:C")),"NOK"))&gt;0, "NOK", "Pending....")),"")</f>
        <v/>
      </c>
      <c r="D1832" s="24"/>
      <c r="E1832" s="24"/>
      <c r="F1832" s="24"/>
      <c r="G1832" s="29"/>
      <c r="H1832" s="24"/>
    </row>
    <row r="1833" spans="2:8" x14ac:dyDescent="0.25">
      <c r="B1833" s="21" t="str" cm="1">
        <f t="array" aca="1" ref="B18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3" s="22" t="str" cm="1">
        <f t="array" aca="1" ref="C18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A1833, "'!C:C")),"NOK"))&gt;0, "NOK", "Pending....")),"")</f>
        <v/>
      </c>
      <c r="D1833" s="24"/>
      <c r="E1833" s="24"/>
      <c r="F1833" s="24"/>
      <c r="G1833" s="29"/>
      <c r="H1833" s="24"/>
    </row>
    <row r="1834" spans="2:8" x14ac:dyDescent="0.25">
      <c r="B1834" s="21" t="str" cm="1">
        <f t="array" aca="1" ref="B18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4" s="22" t="str" cm="1">
        <f t="array" aca="1" ref="C18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A1834, "'!C:C")),"NOK"))&gt;0, "NOK", "Pending....")),"")</f>
        <v/>
      </c>
      <c r="D1834" s="24"/>
      <c r="E1834" s="24"/>
      <c r="F1834" s="24"/>
      <c r="G1834" s="29"/>
      <c r="H1834" s="24"/>
    </row>
    <row r="1835" spans="2:8" x14ac:dyDescent="0.25">
      <c r="B1835" s="21" t="str" cm="1">
        <f t="array" aca="1" ref="B18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5" s="22" t="str" cm="1">
        <f t="array" aca="1" ref="C18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A1835, "'!C:C")),"NOK"))&gt;0, "NOK", "Pending....")),"")</f>
        <v/>
      </c>
      <c r="D1835" s="24"/>
      <c r="E1835" s="24"/>
      <c r="F1835" s="24"/>
      <c r="G1835" s="29"/>
      <c r="H1835" s="24"/>
    </row>
    <row r="1836" spans="2:8" x14ac:dyDescent="0.25">
      <c r="B1836" s="21" t="str" cm="1">
        <f t="array" aca="1" ref="B18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6" s="22" t="str" cm="1">
        <f t="array" aca="1" ref="C18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A1836, "'!C:C")),"NOK"))&gt;0, "NOK", "Pending....")),"")</f>
        <v/>
      </c>
      <c r="D1836" s="24"/>
      <c r="E1836" s="24"/>
      <c r="F1836" s="24"/>
      <c r="G1836" s="29"/>
      <c r="H1836" s="24"/>
    </row>
    <row r="1837" spans="2:8" x14ac:dyDescent="0.25">
      <c r="B1837" s="21" t="str" cm="1">
        <f t="array" aca="1" ref="B18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7" s="22" t="str" cm="1">
        <f t="array" aca="1" ref="C18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A1837, "'!C:C")),"NOK"))&gt;0, "NOK", "Pending....")),"")</f>
        <v/>
      </c>
      <c r="D1837" s="24"/>
      <c r="E1837" s="24"/>
      <c r="F1837" s="24"/>
      <c r="G1837" s="29"/>
      <c r="H1837" s="24"/>
    </row>
    <row r="1838" spans="2:8" x14ac:dyDescent="0.25">
      <c r="B1838" s="21" t="str" cm="1">
        <f t="array" aca="1" ref="B18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8" s="22" t="str" cm="1">
        <f t="array" aca="1" ref="C18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A1838, "'!C:C")),"NOK"))&gt;0, "NOK", "Pending....")),"")</f>
        <v/>
      </c>
      <c r="D1838" s="24"/>
      <c r="E1838" s="24"/>
      <c r="F1838" s="24"/>
      <c r="G1838" s="29"/>
      <c r="H1838" s="24"/>
    </row>
    <row r="1839" spans="2:8" x14ac:dyDescent="0.25">
      <c r="B1839" s="21" t="str" cm="1">
        <f t="array" aca="1" ref="B18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39" s="22" t="str" cm="1">
        <f t="array" aca="1" ref="C18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A1839, "'!C:C")),"NOK"))&gt;0, "NOK", "Pending....")),"")</f>
        <v/>
      </c>
      <c r="D1839" s="24"/>
      <c r="E1839" s="24"/>
      <c r="F1839" s="24"/>
      <c r="G1839" s="29"/>
      <c r="H1839" s="24"/>
    </row>
    <row r="1840" spans="2:8" x14ac:dyDescent="0.25">
      <c r="B1840" s="21" t="str" cm="1">
        <f t="array" aca="1" ref="B18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0" s="22" t="str" cm="1">
        <f t="array" aca="1" ref="C18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A1840, "'!C:C")),"NOK"))&gt;0, "NOK", "Pending....")),"")</f>
        <v/>
      </c>
      <c r="D1840" s="24"/>
      <c r="E1840" s="24"/>
      <c r="F1840" s="24"/>
      <c r="G1840" s="29"/>
      <c r="H1840" s="24"/>
    </row>
    <row r="1841" spans="2:8" x14ac:dyDescent="0.25">
      <c r="B1841" s="21" t="str" cm="1">
        <f t="array" aca="1" ref="B18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1" s="22" t="str" cm="1">
        <f t="array" aca="1" ref="C18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A1841, "'!C:C")),"NOK"))&gt;0, "NOK", "Pending....")),"")</f>
        <v/>
      </c>
      <c r="D1841" s="24"/>
      <c r="E1841" s="24"/>
      <c r="F1841" s="24"/>
      <c r="G1841" s="29"/>
      <c r="H1841" s="24"/>
    </row>
    <row r="1842" spans="2:8" x14ac:dyDescent="0.25">
      <c r="B1842" s="21" t="str" cm="1">
        <f t="array" aca="1" ref="B18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2" s="22" t="str" cm="1">
        <f t="array" aca="1" ref="C18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A1842, "'!C:C")),"NOK"))&gt;0, "NOK", "Pending....")),"")</f>
        <v/>
      </c>
      <c r="D1842" s="24"/>
      <c r="E1842" s="24"/>
      <c r="F1842" s="24"/>
      <c r="G1842" s="29"/>
      <c r="H1842" s="24"/>
    </row>
    <row r="1843" spans="2:8" x14ac:dyDescent="0.25">
      <c r="B1843" s="21" t="str" cm="1">
        <f t="array" aca="1" ref="B18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3" s="22" t="str" cm="1">
        <f t="array" aca="1" ref="C18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A1843, "'!C:C")),"NOK"))&gt;0, "NOK", "Pending....")),"")</f>
        <v/>
      </c>
      <c r="D1843" s="24"/>
      <c r="E1843" s="24"/>
      <c r="F1843" s="24"/>
      <c r="G1843" s="29"/>
      <c r="H1843" s="24"/>
    </row>
    <row r="1844" spans="2:8" x14ac:dyDescent="0.25">
      <c r="B1844" s="21" t="str" cm="1">
        <f t="array" aca="1" ref="B18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4" s="22" t="str" cm="1">
        <f t="array" aca="1" ref="C18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A1844, "'!C:C")),"NOK"))&gt;0, "NOK", "Pending....")),"")</f>
        <v/>
      </c>
      <c r="D1844" s="24"/>
      <c r="E1844" s="24"/>
      <c r="F1844" s="24"/>
      <c r="G1844" s="29"/>
      <c r="H1844" s="24"/>
    </row>
    <row r="1845" spans="2:8" x14ac:dyDescent="0.25">
      <c r="B1845" s="21" t="str" cm="1">
        <f t="array" aca="1" ref="B18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5" s="22" t="str" cm="1">
        <f t="array" aca="1" ref="C18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A1845, "'!C:C")),"NOK"))&gt;0, "NOK", "Pending....")),"")</f>
        <v/>
      </c>
      <c r="D1845" s="24"/>
      <c r="E1845" s="24"/>
      <c r="F1845" s="24"/>
      <c r="G1845" s="29"/>
      <c r="H1845" s="24"/>
    </row>
    <row r="1846" spans="2:8" x14ac:dyDescent="0.25">
      <c r="B1846" s="21" t="str" cm="1">
        <f t="array" aca="1" ref="B18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6" s="22" t="str" cm="1">
        <f t="array" aca="1" ref="C18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A1846, "'!C:C")),"NOK"))&gt;0, "NOK", "Pending....")),"")</f>
        <v/>
      </c>
      <c r="D1846" s="24"/>
      <c r="E1846" s="24"/>
      <c r="F1846" s="24"/>
      <c r="G1846" s="29"/>
      <c r="H1846" s="24"/>
    </row>
    <row r="1847" spans="2:8" x14ac:dyDescent="0.25">
      <c r="B1847" s="21" t="str" cm="1">
        <f t="array" aca="1" ref="B18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7" s="22" t="str" cm="1">
        <f t="array" aca="1" ref="C18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A1847, "'!C:C")),"NOK"))&gt;0, "NOK", "Pending....")),"")</f>
        <v/>
      </c>
      <c r="D1847" s="24"/>
      <c r="E1847" s="24"/>
      <c r="F1847" s="24"/>
      <c r="G1847" s="29"/>
      <c r="H1847" s="24"/>
    </row>
    <row r="1848" spans="2:8" x14ac:dyDescent="0.25">
      <c r="B1848" s="21" t="str" cm="1">
        <f t="array" aca="1" ref="B18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8" s="22" t="str" cm="1">
        <f t="array" aca="1" ref="C18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A1848, "'!C:C")),"NOK"))&gt;0, "NOK", "Pending....")),"")</f>
        <v/>
      </c>
      <c r="D1848" s="24"/>
      <c r="E1848" s="24"/>
      <c r="F1848" s="24"/>
      <c r="G1848" s="29"/>
      <c r="H1848" s="24"/>
    </row>
    <row r="1849" spans="2:8" x14ac:dyDescent="0.25">
      <c r="B1849" s="21" t="str" cm="1">
        <f t="array" aca="1" ref="B18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49" s="22" t="str" cm="1">
        <f t="array" aca="1" ref="C18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A1849, "'!C:C")),"NOK"))&gt;0, "NOK", "Pending....")),"")</f>
        <v/>
      </c>
      <c r="D1849" s="24"/>
      <c r="E1849" s="24"/>
      <c r="F1849" s="24"/>
      <c r="G1849" s="29"/>
      <c r="H1849" s="24"/>
    </row>
    <row r="1850" spans="2:8" x14ac:dyDescent="0.25">
      <c r="B1850" s="21" t="str" cm="1">
        <f t="array" aca="1" ref="B18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0" s="22" t="str" cm="1">
        <f t="array" aca="1" ref="C18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A1850, "'!C:C")),"NOK"))&gt;0, "NOK", "Pending....")),"")</f>
        <v/>
      </c>
      <c r="D1850" s="24"/>
      <c r="E1850" s="24"/>
      <c r="F1850" s="24"/>
      <c r="G1850" s="29"/>
      <c r="H1850" s="24"/>
    </row>
    <row r="1851" spans="2:8" x14ac:dyDescent="0.25">
      <c r="B1851" s="21" t="str" cm="1">
        <f t="array" aca="1" ref="B18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1" s="22" t="str" cm="1">
        <f t="array" aca="1" ref="C18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A1851, "'!C:C")),"NOK"))&gt;0, "NOK", "Pending....")),"")</f>
        <v/>
      </c>
      <c r="D1851" s="24"/>
      <c r="E1851" s="24"/>
      <c r="F1851" s="24"/>
      <c r="G1851" s="29"/>
      <c r="H1851" s="24"/>
    </row>
    <row r="1852" spans="2:8" x14ac:dyDescent="0.25">
      <c r="B1852" s="21" t="str" cm="1">
        <f t="array" aca="1" ref="B18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2" s="22" t="str" cm="1">
        <f t="array" aca="1" ref="C18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A1852, "'!C:C")),"NOK"))&gt;0, "NOK", "Pending....")),"")</f>
        <v/>
      </c>
      <c r="D1852" s="24"/>
      <c r="E1852" s="24"/>
      <c r="F1852" s="24"/>
      <c r="G1852" s="29"/>
      <c r="H1852" s="24"/>
    </row>
    <row r="1853" spans="2:8" x14ac:dyDescent="0.25">
      <c r="B1853" s="21" t="str" cm="1">
        <f t="array" aca="1" ref="B18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3" s="22" t="str" cm="1">
        <f t="array" aca="1" ref="C18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A1853, "'!C:C")),"NOK"))&gt;0, "NOK", "Pending....")),"")</f>
        <v/>
      </c>
      <c r="D1853" s="24"/>
      <c r="E1853" s="24"/>
      <c r="F1853" s="24"/>
      <c r="G1853" s="29"/>
      <c r="H1853" s="24"/>
    </row>
    <row r="1854" spans="2:8" x14ac:dyDescent="0.25">
      <c r="B1854" s="21" t="str" cm="1">
        <f t="array" aca="1" ref="B18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4" s="22" t="str" cm="1">
        <f t="array" aca="1" ref="C18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A1854, "'!C:C")),"NOK"))&gt;0, "NOK", "Pending....")),"")</f>
        <v/>
      </c>
      <c r="D1854" s="24"/>
      <c r="E1854" s="24"/>
      <c r="F1854" s="24"/>
      <c r="G1854" s="29"/>
      <c r="H1854" s="24"/>
    </row>
    <row r="1855" spans="2:8" x14ac:dyDescent="0.25">
      <c r="B1855" s="21" t="str" cm="1">
        <f t="array" aca="1" ref="B18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5" s="22" t="str" cm="1">
        <f t="array" aca="1" ref="C18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A1855, "'!C:C")),"NOK"))&gt;0, "NOK", "Pending....")),"")</f>
        <v/>
      </c>
      <c r="D1855" s="24"/>
      <c r="E1855" s="24"/>
      <c r="F1855" s="24"/>
      <c r="G1855" s="29"/>
      <c r="H1855" s="24"/>
    </row>
    <row r="1856" spans="2:8" x14ac:dyDescent="0.25">
      <c r="B1856" s="21" t="str" cm="1">
        <f t="array" aca="1" ref="B18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6" s="22" t="str" cm="1">
        <f t="array" aca="1" ref="C18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A1856, "'!C:C")),"NOK"))&gt;0, "NOK", "Pending....")),"")</f>
        <v/>
      </c>
      <c r="D1856" s="24"/>
      <c r="E1856" s="24"/>
      <c r="F1856" s="24"/>
      <c r="G1856" s="29"/>
      <c r="H1856" s="24"/>
    </row>
    <row r="1857" spans="2:8" x14ac:dyDescent="0.25">
      <c r="B1857" s="21" t="str" cm="1">
        <f t="array" aca="1" ref="B18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7" s="22" t="str" cm="1">
        <f t="array" aca="1" ref="C18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A1857, "'!C:C")),"NOK"))&gt;0, "NOK", "Pending....")),"")</f>
        <v/>
      </c>
      <c r="D1857" s="24"/>
      <c r="E1857" s="24"/>
      <c r="F1857" s="24"/>
      <c r="G1857" s="29"/>
      <c r="H1857" s="24"/>
    </row>
    <row r="1858" spans="2:8" x14ac:dyDescent="0.25">
      <c r="B1858" s="21" t="str" cm="1">
        <f t="array" aca="1" ref="B18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8" s="22" t="str" cm="1">
        <f t="array" aca="1" ref="C18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A1858, "'!C:C")),"NOK"))&gt;0, "NOK", "Pending....")),"")</f>
        <v/>
      </c>
      <c r="D1858" s="24"/>
      <c r="E1858" s="24"/>
      <c r="F1858" s="24"/>
      <c r="G1858" s="29"/>
      <c r="H1858" s="24"/>
    </row>
    <row r="1859" spans="2:8" x14ac:dyDescent="0.25">
      <c r="B1859" s="21" t="str" cm="1">
        <f t="array" aca="1" ref="B18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59" s="22" t="str" cm="1">
        <f t="array" aca="1" ref="C18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A1859, "'!C:C")),"NOK"))&gt;0, "NOK", "Pending....")),"")</f>
        <v/>
      </c>
      <c r="D1859" s="24"/>
      <c r="E1859" s="24"/>
      <c r="F1859" s="24"/>
      <c r="G1859" s="29"/>
      <c r="H1859" s="24"/>
    </row>
    <row r="1860" spans="2:8" x14ac:dyDescent="0.25">
      <c r="B1860" s="21" t="str" cm="1">
        <f t="array" aca="1" ref="B18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0" s="22" t="str" cm="1">
        <f t="array" aca="1" ref="C18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A1860, "'!C:C")),"NOK"))&gt;0, "NOK", "Pending....")),"")</f>
        <v/>
      </c>
      <c r="D1860" s="24"/>
      <c r="E1860" s="24"/>
      <c r="F1860" s="24"/>
      <c r="G1860" s="29"/>
      <c r="H1860" s="24"/>
    </row>
    <row r="1861" spans="2:8" x14ac:dyDescent="0.25">
      <c r="B1861" s="21" t="str" cm="1">
        <f t="array" aca="1" ref="B18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1" s="22" t="str" cm="1">
        <f t="array" aca="1" ref="C18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A1861, "'!C:C")),"NOK"))&gt;0, "NOK", "Pending....")),"")</f>
        <v/>
      </c>
      <c r="D1861" s="24"/>
      <c r="E1861" s="24"/>
      <c r="F1861" s="24"/>
      <c r="G1861" s="29"/>
      <c r="H1861" s="24"/>
    </row>
    <row r="1862" spans="2:8" x14ac:dyDescent="0.25">
      <c r="B1862" s="21" t="str" cm="1">
        <f t="array" aca="1" ref="B18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2" s="22" t="str" cm="1">
        <f t="array" aca="1" ref="C18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A1862, "'!C:C")),"NOK"))&gt;0, "NOK", "Pending....")),"")</f>
        <v/>
      </c>
      <c r="D1862" s="24"/>
      <c r="E1862" s="24"/>
      <c r="F1862" s="24"/>
      <c r="G1862" s="29"/>
      <c r="H1862" s="24"/>
    </row>
    <row r="1863" spans="2:8" x14ac:dyDescent="0.25">
      <c r="B1863" s="21" t="str" cm="1">
        <f t="array" aca="1" ref="B18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3" s="22" t="str" cm="1">
        <f t="array" aca="1" ref="C18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A1863, "'!C:C")),"NOK"))&gt;0, "NOK", "Pending....")),"")</f>
        <v/>
      </c>
      <c r="D1863" s="24"/>
      <c r="E1863" s="24"/>
      <c r="F1863" s="24"/>
      <c r="G1863" s="29"/>
      <c r="H1863" s="24"/>
    </row>
    <row r="1864" spans="2:8" x14ac:dyDescent="0.25">
      <c r="B1864" s="21" t="str" cm="1">
        <f t="array" aca="1" ref="B18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4" s="22" t="str" cm="1">
        <f t="array" aca="1" ref="C18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A1864, "'!C:C")),"NOK"))&gt;0, "NOK", "Pending....")),"")</f>
        <v/>
      </c>
      <c r="D1864" s="24"/>
      <c r="E1864" s="24"/>
      <c r="F1864" s="24"/>
      <c r="G1864" s="29"/>
      <c r="H1864" s="24"/>
    </row>
    <row r="1865" spans="2:8" x14ac:dyDescent="0.25">
      <c r="B1865" s="21" t="str" cm="1">
        <f t="array" aca="1" ref="B18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5" s="22" t="str" cm="1">
        <f t="array" aca="1" ref="C18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A1865, "'!C:C")),"NOK"))&gt;0, "NOK", "Pending....")),"")</f>
        <v/>
      </c>
      <c r="D1865" s="24"/>
      <c r="E1865" s="24"/>
      <c r="F1865" s="24"/>
      <c r="G1865" s="29"/>
      <c r="H1865" s="24"/>
    </row>
    <row r="1866" spans="2:8" x14ac:dyDescent="0.25">
      <c r="B1866" s="21" t="str" cm="1">
        <f t="array" aca="1" ref="B18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6" s="22" t="str" cm="1">
        <f t="array" aca="1" ref="C18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A1866, "'!C:C")),"NOK"))&gt;0, "NOK", "Pending....")),"")</f>
        <v/>
      </c>
      <c r="D1866" s="24"/>
      <c r="E1866" s="24"/>
      <c r="F1866" s="24"/>
      <c r="G1866" s="29"/>
      <c r="H1866" s="24"/>
    </row>
    <row r="1867" spans="2:8" x14ac:dyDescent="0.25">
      <c r="B1867" s="21" t="str" cm="1">
        <f t="array" aca="1" ref="B18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7" s="22" t="str" cm="1">
        <f t="array" aca="1" ref="C18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A1867, "'!C:C")),"NOK"))&gt;0, "NOK", "Pending....")),"")</f>
        <v/>
      </c>
      <c r="D1867" s="24"/>
      <c r="E1867" s="24"/>
      <c r="F1867" s="24"/>
      <c r="G1867" s="29"/>
      <c r="H1867" s="24"/>
    </row>
    <row r="1868" spans="2:8" x14ac:dyDescent="0.25">
      <c r="B1868" s="21" t="str" cm="1">
        <f t="array" aca="1" ref="B18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8" s="22" t="str" cm="1">
        <f t="array" aca="1" ref="C18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A1868, "'!C:C")),"NOK"))&gt;0, "NOK", "Pending....")),"")</f>
        <v/>
      </c>
      <c r="D1868" s="24"/>
      <c r="E1868" s="24"/>
      <c r="F1868" s="24"/>
      <c r="G1868" s="29"/>
      <c r="H1868" s="24"/>
    </row>
    <row r="1869" spans="2:8" x14ac:dyDescent="0.25">
      <c r="B1869" s="21" t="str" cm="1">
        <f t="array" aca="1" ref="B18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69" s="22" t="str" cm="1">
        <f t="array" aca="1" ref="C18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A1869, "'!C:C")),"NOK"))&gt;0, "NOK", "Pending....")),"")</f>
        <v/>
      </c>
      <c r="D1869" s="24"/>
      <c r="E1869" s="24"/>
      <c r="F1869" s="24"/>
      <c r="G1869" s="29"/>
      <c r="H1869" s="24"/>
    </row>
    <row r="1870" spans="2:8" x14ac:dyDescent="0.25">
      <c r="B1870" s="21" t="str" cm="1">
        <f t="array" aca="1" ref="B18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0" s="22" t="str" cm="1">
        <f t="array" aca="1" ref="C18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A1870, "'!C:C")),"NOK"))&gt;0, "NOK", "Pending....")),"")</f>
        <v/>
      </c>
      <c r="D1870" s="24"/>
      <c r="E1870" s="24"/>
      <c r="F1870" s="24"/>
      <c r="G1870" s="29"/>
      <c r="H1870" s="24"/>
    </row>
    <row r="1871" spans="2:8" x14ac:dyDescent="0.25">
      <c r="B1871" s="21" t="str" cm="1">
        <f t="array" aca="1" ref="B18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1" s="22" t="str" cm="1">
        <f t="array" aca="1" ref="C18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A1871, "'!C:C")),"NOK"))&gt;0, "NOK", "Pending....")),"")</f>
        <v/>
      </c>
      <c r="D1871" s="24"/>
      <c r="E1871" s="24"/>
      <c r="F1871" s="24"/>
      <c r="G1871" s="29"/>
      <c r="H1871" s="24"/>
    </row>
    <row r="1872" spans="2:8" x14ac:dyDescent="0.25">
      <c r="B1872" s="21" t="str" cm="1">
        <f t="array" aca="1" ref="B18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2" s="22" t="str" cm="1">
        <f t="array" aca="1" ref="C18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A1872, "'!C:C")),"NOK"))&gt;0, "NOK", "Pending....")),"")</f>
        <v/>
      </c>
      <c r="D1872" s="24"/>
      <c r="E1872" s="24"/>
      <c r="F1872" s="24"/>
      <c r="G1872" s="29"/>
      <c r="H1872" s="24"/>
    </row>
    <row r="1873" spans="2:8" x14ac:dyDescent="0.25">
      <c r="B1873" s="21" t="str" cm="1">
        <f t="array" aca="1" ref="B18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3" s="22" t="str" cm="1">
        <f t="array" aca="1" ref="C18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A1873, "'!C:C")),"NOK"))&gt;0, "NOK", "Pending....")),"")</f>
        <v/>
      </c>
      <c r="D1873" s="24"/>
      <c r="E1873" s="24"/>
      <c r="F1873" s="24"/>
      <c r="G1873" s="29"/>
      <c r="H1873" s="24"/>
    </row>
    <row r="1874" spans="2:8" x14ac:dyDescent="0.25">
      <c r="B1874" s="21" t="str" cm="1">
        <f t="array" aca="1" ref="B18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4" s="22" t="str" cm="1">
        <f t="array" aca="1" ref="C18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A1874, "'!C:C")),"NOK"))&gt;0, "NOK", "Pending....")),"")</f>
        <v/>
      </c>
      <c r="D1874" s="24"/>
      <c r="E1874" s="24"/>
      <c r="F1874" s="24"/>
      <c r="G1874" s="29"/>
      <c r="H1874" s="24"/>
    </row>
    <row r="1875" spans="2:8" x14ac:dyDescent="0.25">
      <c r="B1875" s="21" t="str" cm="1">
        <f t="array" aca="1" ref="B18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5" s="22" t="str" cm="1">
        <f t="array" aca="1" ref="C18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A1875, "'!C:C")),"NOK"))&gt;0, "NOK", "Pending....")),"")</f>
        <v/>
      </c>
      <c r="D1875" s="24"/>
      <c r="E1875" s="24"/>
      <c r="F1875" s="24"/>
      <c r="G1875" s="29"/>
      <c r="H1875" s="24"/>
    </row>
    <row r="1876" spans="2:8" x14ac:dyDescent="0.25">
      <c r="B1876" s="21" t="str" cm="1">
        <f t="array" aca="1" ref="B18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6" s="22" t="str" cm="1">
        <f t="array" aca="1" ref="C18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A1876, "'!C:C")),"NOK"))&gt;0, "NOK", "Pending....")),"")</f>
        <v/>
      </c>
      <c r="D1876" s="24"/>
      <c r="E1876" s="24"/>
      <c r="F1876" s="24"/>
      <c r="G1876" s="29"/>
      <c r="H1876" s="24"/>
    </row>
    <row r="1877" spans="2:8" x14ac:dyDescent="0.25">
      <c r="B1877" s="21" t="str" cm="1">
        <f t="array" aca="1" ref="B187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7" s="22" t="str" cm="1">
        <f t="array" aca="1" ref="C187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A1877, "'!C:C")),"NOK"))&gt;0, "NOK", "Pending....")),"")</f>
        <v/>
      </c>
      <c r="D1877" s="24"/>
      <c r="E1877" s="24"/>
      <c r="F1877" s="24"/>
      <c r="G1877" s="29"/>
      <c r="H1877" s="24"/>
    </row>
    <row r="1878" spans="2:8" x14ac:dyDescent="0.25">
      <c r="B1878" s="21" t="str" cm="1">
        <f t="array" aca="1" ref="B187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8" s="22" t="str" cm="1">
        <f t="array" aca="1" ref="C187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A1878, "'!C:C")),"NOK"))&gt;0, "NOK", "Pending....")),"")</f>
        <v/>
      </c>
      <c r="D1878" s="24"/>
      <c r="E1878" s="24"/>
      <c r="F1878" s="24"/>
      <c r="G1878" s="29"/>
      <c r="H1878" s="24"/>
    </row>
    <row r="1879" spans="2:8" x14ac:dyDescent="0.25">
      <c r="B1879" s="21" t="str" cm="1">
        <f t="array" aca="1" ref="B187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79" s="22" t="str" cm="1">
        <f t="array" aca="1" ref="C187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A1879, "'!C:C")),"NOK"))&gt;0, "NOK", "Pending....")),"")</f>
        <v/>
      </c>
      <c r="D1879" s="24"/>
      <c r="E1879" s="24"/>
      <c r="F1879" s="24"/>
      <c r="G1879" s="29"/>
      <c r="H1879" s="24"/>
    </row>
    <row r="1880" spans="2:8" x14ac:dyDescent="0.25">
      <c r="B1880" s="21" t="str" cm="1">
        <f t="array" aca="1" ref="B188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0" s="22" t="str" cm="1">
        <f t="array" aca="1" ref="C188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A1880, "'!C:C")),"NOK"))&gt;0, "NOK", "Pending....")),"")</f>
        <v/>
      </c>
      <c r="D1880" s="24"/>
      <c r="E1880" s="24"/>
      <c r="F1880" s="24"/>
      <c r="G1880" s="29"/>
      <c r="H1880" s="24"/>
    </row>
    <row r="1881" spans="2:8" x14ac:dyDescent="0.25">
      <c r="B1881" s="21" t="str" cm="1">
        <f t="array" aca="1" ref="B188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1" s="22" t="str" cm="1">
        <f t="array" aca="1" ref="C188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A1881, "'!C:C")),"NOK"))&gt;0, "NOK", "Pending....")),"")</f>
        <v/>
      </c>
      <c r="D1881" s="24"/>
      <c r="E1881" s="24"/>
      <c r="F1881" s="24"/>
      <c r="G1881" s="29"/>
      <c r="H1881" s="24"/>
    </row>
    <row r="1882" spans="2:8" x14ac:dyDescent="0.25">
      <c r="B1882" s="21" t="str" cm="1">
        <f t="array" aca="1" ref="B188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2" s="22" t="str" cm="1">
        <f t="array" aca="1" ref="C188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A1882, "'!C:C")),"NOK"))&gt;0, "NOK", "Pending....")),"")</f>
        <v/>
      </c>
      <c r="D1882" s="24"/>
      <c r="E1882" s="24"/>
      <c r="F1882" s="24"/>
      <c r="G1882" s="29"/>
      <c r="H1882" s="24"/>
    </row>
    <row r="1883" spans="2:8" x14ac:dyDescent="0.25">
      <c r="B1883" s="21" t="str" cm="1">
        <f t="array" aca="1" ref="B188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3" s="22" t="str" cm="1">
        <f t="array" aca="1" ref="C188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A1883, "'!C:C")),"NOK"))&gt;0, "NOK", "Pending....")),"")</f>
        <v/>
      </c>
      <c r="D1883" s="24"/>
      <c r="E1883" s="24"/>
      <c r="F1883" s="24"/>
      <c r="G1883" s="29"/>
      <c r="H1883" s="24"/>
    </row>
    <row r="1884" spans="2:8" x14ac:dyDescent="0.25">
      <c r="B1884" s="21" t="str" cm="1">
        <f t="array" aca="1" ref="B188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4" s="22" t="str" cm="1">
        <f t="array" aca="1" ref="C188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A1884, "'!C:C")),"NOK"))&gt;0, "NOK", "Pending....")),"")</f>
        <v/>
      </c>
      <c r="D1884" s="24"/>
      <c r="E1884" s="24"/>
      <c r="F1884" s="24"/>
      <c r="G1884" s="29"/>
      <c r="H1884" s="24"/>
    </row>
    <row r="1885" spans="2:8" x14ac:dyDescent="0.25">
      <c r="B1885" s="21" t="str" cm="1">
        <f t="array" aca="1" ref="B188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5" s="22" t="str" cm="1">
        <f t="array" aca="1" ref="C188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A1885, "'!C:C")),"NOK"))&gt;0, "NOK", "Pending....")),"")</f>
        <v/>
      </c>
      <c r="D1885" s="24"/>
      <c r="E1885" s="24"/>
      <c r="F1885" s="24"/>
      <c r="G1885" s="29"/>
      <c r="H1885" s="24"/>
    </row>
    <row r="1886" spans="2:8" x14ac:dyDescent="0.25">
      <c r="B1886" s="21" t="str" cm="1">
        <f t="array" aca="1" ref="B188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6" s="22" t="str" cm="1">
        <f t="array" aca="1" ref="C188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A1886, "'!C:C")),"NOK"))&gt;0, "NOK", "Pending....")),"")</f>
        <v/>
      </c>
      <c r="D1886" s="24"/>
      <c r="E1886" s="24"/>
      <c r="F1886" s="24"/>
      <c r="G1886" s="29"/>
      <c r="H1886" s="24"/>
    </row>
    <row r="1887" spans="2:8" x14ac:dyDescent="0.25">
      <c r="B1887" s="21" t="str" cm="1">
        <f t="array" aca="1" ref="B188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7" s="22" t="str" cm="1">
        <f t="array" aca="1" ref="C188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A1887, "'!C:C")),"NOK"))&gt;0, "NOK", "Pending....")),"")</f>
        <v/>
      </c>
      <c r="D1887" s="24"/>
      <c r="E1887" s="24"/>
      <c r="F1887" s="24"/>
      <c r="G1887" s="29"/>
      <c r="H1887" s="24"/>
    </row>
    <row r="1888" spans="2:8" x14ac:dyDescent="0.25">
      <c r="B1888" s="21" t="str" cm="1">
        <f t="array" aca="1" ref="B188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8" s="22" t="str" cm="1">
        <f t="array" aca="1" ref="C188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A1888, "'!C:C")),"NOK"))&gt;0, "NOK", "Pending....")),"")</f>
        <v/>
      </c>
      <c r="D1888" s="24"/>
      <c r="E1888" s="24"/>
      <c r="F1888" s="24"/>
      <c r="G1888" s="29"/>
      <c r="H1888" s="24"/>
    </row>
    <row r="1889" spans="2:8" x14ac:dyDescent="0.25">
      <c r="B1889" s="21" t="str" cm="1">
        <f t="array" aca="1" ref="B188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89" s="22" t="str" cm="1">
        <f t="array" aca="1" ref="C188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A1889, "'!C:C")),"NOK"))&gt;0, "NOK", "Pending....")),"")</f>
        <v/>
      </c>
      <c r="D1889" s="24"/>
      <c r="E1889" s="24"/>
      <c r="F1889" s="24"/>
      <c r="G1889" s="29"/>
      <c r="H1889" s="24"/>
    </row>
    <row r="1890" spans="2:8" x14ac:dyDescent="0.25">
      <c r="B1890" s="21" t="str" cm="1">
        <f t="array" aca="1" ref="B189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0" s="22" t="str" cm="1">
        <f t="array" aca="1" ref="C189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A1890, "'!C:C")),"NOK"))&gt;0, "NOK", "Pending....")),"")</f>
        <v/>
      </c>
      <c r="D1890" s="24"/>
      <c r="E1890" s="24"/>
      <c r="F1890" s="24"/>
      <c r="G1890" s="29"/>
      <c r="H1890" s="24"/>
    </row>
    <row r="1891" spans="2:8" x14ac:dyDescent="0.25">
      <c r="B1891" s="21" t="str" cm="1">
        <f t="array" aca="1" ref="B189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1" s="22" t="str" cm="1">
        <f t="array" aca="1" ref="C189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A1891, "'!C:C")),"NOK"))&gt;0, "NOK", "Pending....")),"")</f>
        <v/>
      </c>
      <c r="D1891" s="24"/>
      <c r="E1891" s="24"/>
      <c r="F1891" s="24"/>
      <c r="G1891" s="29"/>
      <c r="H1891" s="24"/>
    </row>
    <row r="1892" spans="2:8" x14ac:dyDescent="0.25">
      <c r="B1892" s="21" t="str" cm="1">
        <f t="array" aca="1" ref="B189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2" s="22" t="str" cm="1">
        <f t="array" aca="1" ref="C189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A1892, "'!C:C")),"NOK"))&gt;0, "NOK", "Pending....")),"")</f>
        <v/>
      </c>
      <c r="D1892" s="24"/>
      <c r="E1892" s="24"/>
      <c r="F1892" s="24"/>
      <c r="G1892" s="29"/>
      <c r="H1892" s="24"/>
    </row>
    <row r="1893" spans="2:8" x14ac:dyDescent="0.25">
      <c r="B1893" s="21" t="str" cm="1">
        <f t="array" aca="1" ref="B189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3" s="22" t="str" cm="1">
        <f t="array" aca="1" ref="C189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A1893, "'!C:C")),"NOK"))&gt;0, "NOK", "Pending....")),"")</f>
        <v/>
      </c>
      <c r="D1893" s="24"/>
      <c r="E1893" s="24"/>
      <c r="F1893" s="24"/>
      <c r="G1893" s="29"/>
      <c r="H1893" s="24"/>
    </row>
    <row r="1894" spans="2:8" x14ac:dyDescent="0.25">
      <c r="B1894" s="21" t="str" cm="1">
        <f t="array" aca="1" ref="B189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4" s="22" t="str" cm="1">
        <f t="array" aca="1" ref="C189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A1894, "'!C:C")),"NOK"))&gt;0, "NOK", "Pending....")),"")</f>
        <v/>
      </c>
      <c r="D1894" s="24"/>
      <c r="E1894" s="24"/>
      <c r="F1894" s="24"/>
      <c r="G1894" s="29"/>
      <c r="H1894" s="24"/>
    </row>
    <row r="1895" spans="2:8" x14ac:dyDescent="0.25">
      <c r="B1895" s="21" t="str" cm="1">
        <f t="array" aca="1" ref="B189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5" s="22" t="str" cm="1">
        <f t="array" aca="1" ref="C189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A1895, "'!C:C")),"NOK"))&gt;0, "NOK", "Pending....")),"")</f>
        <v/>
      </c>
      <c r="D1895" s="24"/>
      <c r="E1895" s="24"/>
      <c r="F1895" s="24"/>
      <c r="G1895" s="29"/>
      <c r="H1895" s="24"/>
    </row>
    <row r="1896" spans="2:8" x14ac:dyDescent="0.25">
      <c r="B1896" s="21" t="str" cm="1">
        <f t="array" aca="1" ref="B189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6" s="22" t="str" cm="1">
        <f t="array" aca="1" ref="C189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A1896, "'!C:C")),"NOK"))&gt;0, "NOK", "Pending....")),"")</f>
        <v/>
      </c>
      <c r="D1896" s="24"/>
      <c r="E1896" s="24"/>
      <c r="F1896" s="24"/>
      <c r="G1896" s="29"/>
      <c r="H1896" s="24"/>
    </row>
    <row r="1897" spans="2:8" x14ac:dyDescent="0.25">
      <c r="B1897" s="21" t="str" cm="1">
        <f t="array" aca="1" ref="B189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7" s="22" t="str" cm="1">
        <f t="array" aca="1" ref="C189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A1897, "'!C:C")),"NOK"))&gt;0, "NOK", "Pending....")),"")</f>
        <v/>
      </c>
      <c r="D1897" s="24"/>
      <c r="E1897" s="24"/>
      <c r="F1897" s="24"/>
      <c r="G1897" s="29"/>
      <c r="H1897" s="24"/>
    </row>
    <row r="1898" spans="2:8" x14ac:dyDescent="0.25">
      <c r="B1898" s="21" t="str" cm="1">
        <f t="array" aca="1" ref="B189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8" s="22" t="str" cm="1">
        <f t="array" aca="1" ref="C189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A1898, "'!C:C")),"NOK"))&gt;0, "NOK", "Pending....")),"")</f>
        <v/>
      </c>
      <c r="D1898" s="24"/>
      <c r="E1898" s="24"/>
      <c r="F1898" s="24"/>
      <c r="G1898" s="29"/>
      <c r="H1898" s="24"/>
    </row>
    <row r="1899" spans="2:8" x14ac:dyDescent="0.25">
      <c r="B1899" s="21" t="str" cm="1">
        <f t="array" aca="1" ref="B189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899" s="22" t="str" cm="1">
        <f t="array" aca="1" ref="C189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A1899, "'!C:C")),"NOK"))&gt;0, "NOK", "Pending....")),"")</f>
        <v/>
      </c>
      <c r="D1899" s="24"/>
      <c r="E1899" s="24"/>
      <c r="F1899" s="24"/>
      <c r="G1899" s="29"/>
      <c r="H1899" s="24"/>
    </row>
    <row r="1900" spans="2:8" x14ac:dyDescent="0.25">
      <c r="B1900" s="21" t="str" cm="1">
        <f t="array" aca="1" ref="B190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0" s="22" t="str" cm="1">
        <f t="array" aca="1" ref="C190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A1900, "'!C:C")),"NOK"))&gt;0, "NOK", "Pending....")),"")</f>
        <v/>
      </c>
      <c r="D1900" s="24"/>
      <c r="E1900" s="24"/>
      <c r="F1900" s="24"/>
      <c r="G1900" s="29"/>
      <c r="H1900" s="24"/>
    </row>
    <row r="1901" spans="2:8" x14ac:dyDescent="0.25">
      <c r="B1901" s="21" t="str" cm="1">
        <f t="array" aca="1" ref="B190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1" s="22" t="str" cm="1">
        <f t="array" aca="1" ref="C190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A1901, "'!C:C")),"NOK"))&gt;0, "NOK", "Pending....")),"")</f>
        <v/>
      </c>
      <c r="D1901" s="24"/>
      <c r="E1901" s="24"/>
      <c r="F1901" s="24"/>
      <c r="G1901" s="29"/>
      <c r="H1901" s="24"/>
    </row>
    <row r="1902" spans="2:8" x14ac:dyDescent="0.25">
      <c r="B1902" s="21" t="str" cm="1">
        <f t="array" aca="1" ref="B190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2" s="22" t="str" cm="1">
        <f t="array" aca="1" ref="C190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A1902, "'!C:C")),"NOK"))&gt;0, "NOK", "Pending....")),"")</f>
        <v/>
      </c>
      <c r="D1902" s="24"/>
      <c r="E1902" s="24"/>
      <c r="F1902" s="24"/>
      <c r="G1902" s="29"/>
      <c r="H1902" s="24"/>
    </row>
    <row r="1903" spans="2:8" x14ac:dyDescent="0.25">
      <c r="B1903" s="21" t="str" cm="1">
        <f t="array" aca="1" ref="B190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3" s="22" t="str" cm="1">
        <f t="array" aca="1" ref="C190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A1903, "'!C:C")),"NOK"))&gt;0, "NOK", "Pending....")),"")</f>
        <v/>
      </c>
      <c r="D1903" s="24"/>
      <c r="E1903" s="24"/>
      <c r="F1903" s="24"/>
      <c r="G1903" s="29"/>
      <c r="H1903" s="24"/>
    </row>
    <row r="1904" spans="2:8" x14ac:dyDescent="0.25">
      <c r="B1904" s="21" t="str" cm="1">
        <f t="array" aca="1" ref="B190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4" s="22" t="str" cm="1">
        <f t="array" aca="1" ref="C190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A1904, "'!C:C")),"NOK"))&gt;0, "NOK", "Pending....")),"")</f>
        <v/>
      </c>
      <c r="D1904" s="24"/>
      <c r="E1904" s="24"/>
      <c r="F1904" s="24"/>
      <c r="G1904" s="29"/>
      <c r="H1904" s="24"/>
    </row>
    <row r="1905" spans="2:8" x14ac:dyDescent="0.25">
      <c r="B1905" s="21" t="str" cm="1">
        <f t="array" aca="1" ref="B190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5" s="22" t="str" cm="1">
        <f t="array" aca="1" ref="C190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A1905, "'!C:C")),"NOK"))&gt;0, "NOK", "Pending....")),"")</f>
        <v/>
      </c>
      <c r="D1905" s="24"/>
      <c r="E1905" s="24"/>
      <c r="F1905" s="24"/>
      <c r="G1905" s="29"/>
      <c r="H1905" s="24"/>
    </row>
    <row r="1906" spans="2:8" x14ac:dyDescent="0.25">
      <c r="B1906" s="21" t="str" cm="1">
        <f t="array" aca="1" ref="B190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6" s="22" t="str" cm="1">
        <f t="array" aca="1" ref="C190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A1906, "'!C:C")),"NOK"))&gt;0, "NOK", "Pending....")),"")</f>
        <v/>
      </c>
      <c r="D1906" s="24"/>
      <c r="E1906" s="24"/>
      <c r="F1906" s="24"/>
      <c r="G1906" s="29"/>
      <c r="H1906" s="24"/>
    </row>
    <row r="1907" spans="2:8" x14ac:dyDescent="0.25">
      <c r="B1907" s="21" t="str" cm="1">
        <f t="array" aca="1" ref="B190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7" s="22" t="str" cm="1">
        <f t="array" aca="1" ref="C190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A1907, "'!C:C")),"NOK"))&gt;0, "NOK", "Pending....")),"")</f>
        <v/>
      </c>
      <c r="D1907" s="24"/>
      <c r="E1907" s="24"/>
      <c r="F1907" s="24"/>
      <c r="G1907" s="29"/>
      <c r="H1907" s="24"/>
    </row>
    <row r="1908" spans="2:8" x14ac:dyDescent="0.25">
      <c r="B1908" s="21" t="str" cm="1">
        <f t="array" aca="1" ref="B190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8" s="22" t="str" cm="1">
        <f t="array" aca="1" ref="C190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A1908, "'!C:C")),"NOK"))&gt;0, "NOK", "Pending....")),"")</f>
        <v/>
      </c>
      <c r="D1908" s="24"/>
      <c r="E1908" s="24"/>
      <c r="F1908" s="24"/>
      <c r="G1908" s="29"/>
      <c r="H1908" s="24"/>
    </row>
    <row r="1909" spans="2:8" x14ac:dyDescent="0.25">
      <c r="B1909" s="21" t="str" cm="1">
        <f t="array" aca="1" ref="B190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09" s="22" t="str" cm="1">
        <f t="array" aca="1" ref="C190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A1909, "'!C:C")),"NOK"))&gt;0, "NOK", "Pending....")),"")</f>
        <v/>
      </c>
      <c r="D1909" s="24"/>
      <c r="E1909" s="24"/>
      <c r="F1909" s="24"/>
      <c r="G1909" s="29"/>
      <c r="H1909" s="24"/>
    </row>
    <row r="1910" spans="2:8" x14ac:dyDescent="0.25">
      <c r="B1910" s="21" t="str" cm="1">
        <f t="array" aca="1" ref="B191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0" s="22" t="str" cm="1">
        <f t="array" aca="1" ref="C191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A1910, "'!C:C")),"NOK"))&gt;0, "NOK", "Pending....")),"")</f>
        <v/>
      </c>
      <c r="D1910" s="24"/>
      <c r="E1910" s="24"/>
      <c r="F1910" s="24"/>
      <c r="G1910" s="29"/>
      <c r="H1910" s="24"/>
    </row>
    <row r="1911" spans="2:8" x14ac:dyDescent="0.25">
      <c r="B1911" s="21" t="str" cm="1">
        <f t="array" aca="1" ref="B191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1" s="22" t="str" cm="1">
        <f t="array" aca="1" ref="C191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A1911, "'!C:C")),"NOK"))&gt;0, "NOK", "Pending....")),"")</f>
        <v/>
      </c>
      <c r="D1911" s="24"/>
      <c r="E1911" s="24"/>
      <c r="F1911" s="24"/>
      <c r="G1911" s="29"/>
      <c r="H1911" s="24"/>
    </row>
    <row r="1912" spans="2:8" x14ac:dyDescent="0.25">
      <c r="B1912" s="21" t="str" cm="1">
        <f t="array" aca="1" ref="B191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2" s="22" t="str" cm="1">
        <f t="array" aca="1" ref="C191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A1912, "'!C:C")),"NOK"))&gt;0, "NOK", "Pending....")),"")</f>
        <v/>
      </c>
      <c r="D1912" s="24"/>
      <c r="E1912" s="24"/>
      <c r="F1912" s="24"/>
      <c r="G1912" s="29"/>
      <c r="H1912" s="24"/>
    </row>
    <row r="1913" spans="2:8" x14ac:dyDescent="0.25">
      <c r="B1913" s="21" t="str" cm="1">
        <f t="array" aca="1" ref="B191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3" s="22" t="str" cm="1">
        <f t="array" aca="1" ref="C191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A1913, "'!C:C")),"NOK"))&gt;0, "NOK", "Pending....")),"")</f>
        <v/>
      </c>
      <c r="D1913" s="24"/>
      <c r="E1913" s="24"/>
      <c r="F1913" s="24"/>
      <c r="G1913" s="29"/>
      <c r="H1913" s="24"/>
    </row>
    <row r="1914" spans="2:8" x14ac:dyDescent="0.25">
      <c r="B1914" s="21" t="str" cm="1">
        <f t="array" aca="1" ref="B191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4" s="22" t="str" cm="1">
        <f t="array" aca="1" ref="C191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A1914, "'!C:C")),"NOK"))&gt;0, "NOK", "Pending....")),"")</f>
        <v/>
      </c>
      <c r="D1914" s="24"/>
      <c r="E1914" s="24"/>
      <c r="F1914" s="24"/>
      <c r="G1914" s="29"/>
      <c r="H1914" s="24"/>
    </row>
    <row r="1915" spans="2:8" x14ac:dyDescent="0.25">
      <c r="B1915" s="21" t="str" cm="1">
        <f t="array" aca="1" ref="B191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5" s="22" t="str" cm="1">
        <f t="array" aca="1" ref="C191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A1915, "'!C:C")),"NOK"))&gt;0, "NOK", "Pending....")),"")</f>
        <v/>
      </c>
      <c r="D1915" s="24"/>
      <c r="E1915" s="24"/>
      <c r="F1915" s="24"/>
      <c r="G1915" s="29"/>
      <c r="H1915" s="24"/>
    </row>
    <row r="1916" spans="2:8" x14ac:dyDescent="0.25">
      <c r="B1916" s="21" t="str" cm="1">
        <f t="array" aca="1" ref="B191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6" s="22" t="str" cm="1">
        <f t="array" aca="1" ref="C191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A1916, "'!C:C")),"NOK"))&gt;0, "NOK", "Pending....")),"")</f>
        <v/>
      </c>
      <c r="D1916" s="24"/>
      <c r="E1916" s="24"/>
      <c r="F1916" s="24"/>
      <c r="G1916" s="29"/>
      <c r="H1916" s="24"/>
    </row>
    <row r="1917" spans="2:8" x14ac:dyDescent="0.25">
      <c r="B1917" s="21" t="str" cm="1">
        <f t="array" aca="1" ref="B191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7" s="22" t="str" cm="1">
        <f t="array" aca="1" ref="C191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A1917, "'!C:C")),"NOK"))&gt;0, "NOK", "Pending....")),"")</f>
        <v/>
      </c>
      <c r="D1917" s="24"/>
      <c r="E1917" s="24"/>
      <c r="F1917" s="24"/>
      <c r="G1917" s="29"/>
      <c r="H1917" s="24"/>
    </row>
    <row r="1918" spans="2:8" x14ac:dyDescent="0.25">
      <c r="B1918" s="21" t="str" cm="1">
        <f t="array" aca="1" ref="B191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8" s="22" t="str" cm="1">
        <f t="array" aca="1" ref="C191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A1918, "'!C:C")),"NOK"))&gt;0, "NOK", "Pending....")),"")</f>
        <v/>
      </c>
      <c r="D1918" s="24"/>
      <c r="E1918" s="24"/>
      <c r="F1918" s="24"/>
      <c r="G1918" s="29"/>
      <c r="H1918" s="24"/>
    </row>
    <row r="1919" spans="2:8" x14ac:dyDescent="0.25">
      <c r="B1919" s="21" t="str" cm="1">
        <f t="array" aca="1" ref="B191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19" s="22" t="str" cm="1">
        <f t="array" aca="1" ref="C191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A1919, "'!C:C")),"NOK"))&gt;0, "NOK", "Pending....")),"")</f>
        <v/>
      </c>
      <c r="D1919" s="24"/>
      <c r="E1919" s="24"/>
      <c r="F1919" s="24"/>
      <c r="G1919" s="29"/>
      <c r="H1919" s="24"/>
    </row>
    <row r="1920" spans="2:8" x14ac:dyDescent="0.25">
      <c r="B1920" s="21" t="str" cm="1">
        <f t="array" aca="1" ref="B192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0" s="22" t="str" cm="1">
        <f t="array" aca="1" ref="C192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A1920, "'!C:C")),"NOK"))&gt;0, "NOK", "Pending....")),"")</f>
        <v/>
      </c>
      <c r="D1920" s="24"/>
      <c r="E1920" s="24"/>
      <c r="F1920" s="24"/>
      <c r="G1920" s="29"/>
      <c r="H1920" s="24"/>
    </row>
    <row r="1921" spans="2:8" x14ac:dyDescent="0.25">
      <c r="B1921" s="21" t="str" cm="1">
        <f t="array" aca="1" ref="B192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1" s="22" t="str" cm="1">
        <f t="array" aca="1" ref="C192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A1921, "'!C:C")),"NOK"))&gt;0, "NOK", "Pending....")),"")</f>
        <v/>
      </c>
      <c r="D1921" s="24"/>
      <c r="E1921" s="24"/>
      <c r="F1921" s="24"/>
      <c r="G1921" s="29"/>
      <c r="H1921" s="24"/>
    </row>
    <row r="1922" spans="2:8" x14ac:dyDescent="0.25">
      <c r="B1922" s="21" t="str" cm="1">
        <f t="array" aca="1" ref="B192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2" s="22" t="str" cm="1">
        <f t="array" aca="1" ref="C192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A1922, "'!C:C")),"NOK"))&gt;0, "NOK", "Pending....")),"")</f>
        <v/>
      </c>
      <c r="D1922" s="24"/>
      <c r="E1922" s="24"/>
      <c r="F1922" s="24"/>
      <c r="G1922" s="29"/>
      <c r="H1922" s="24"/>
    </row>
    <row r="1923" spans="2:8" x14ac:dyDescent="0.25">
      <c r="B1923" s="21" t="str" cm="1">
        <f t="array" aca="1" ref="B192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3" s="22" t="str" cm="1">
        <f t="array" aca="1" ref="C192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A1923, "'!C:C")),"NOK"))&gt;0, "NOK", "Pending....")),"")</f>
        <v/>
      </c>
      <c r="D1923" s="24"/>
      <c r="E1923" s="24"/>
      <c r="F1923" s="24"/>
      <c r="G1923" s="29"/>
      <c r="H1923" s="24"/>
    </row>
    <row r="1924" spans="2:8" x14ac:dyDescent="0.25">
      <c r="B1924" s="21" t="str" cm="1">
        <f t="array" aca="1" ref="B192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4" s="22" t="str" cm="1">
        <f t="array" aca="1" ref="C192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A1924, "'!C:C")),"NOK"))&gt;0, "NOK", "Pending....")),"")</f>
        <v/>
      </c>
      <c r="D1924" s="24"/>
      <c r="E1924" s="24"/>
      <c r="F1924" s="24"/>
      <c r="G1924" s="29"/>
      <c r="H1924" s="24"/>
    </row>
    <row r="1925" spans="2:8" x14ac:dyDescent="0.25">
      <c r="B1925" s="21" t="str" cm="1">
        <f t="array" aca="1" ref="B192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5" s="22" t="str" cm="1">
        <f t="array" aca="1" ref="C192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A1925, "'!C:C")),"NOK"))&gt;0, "NOK", "Pending....")),"")</f>
        <v/>
      </c>
      <c r="D1925" s="24"/>
      <c r="E1925" s="24"/>
      <c r="F1925" s="24"/>
      <c r="G1925" s="29"/>
      <c r="H1925" s="24"/>
    </row>
    <row r="1926" spans="2:8" x14ac:dyDescent="0.25">
      <c r="B1926" s="21" t="str" cm="1">
        <f t="array" aca="1" ref="B192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6" s="22" t="str" cm="1">
        <f t="array" aca="1" ref="C192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A1926, "'!C:C")),"NOK"))&gt;0, "NOK", "Pending....")),"")</f>
        <v/>
      </c>
      <c r="D1926" s="24"/>
      <c r="E1926" s="24"/>
      <c r="F1926" s="24"/>
      <c r="G1926" s="29"/>
      <c r="H1926" s="24"/>
    </row>
    <row r="1927" spans="2:8" x14ac:dyDescent="0.25">
      <c r="B1927" s="21" t="str" cm="1">
        <f t="array" aca="1" ref="B192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7" s="22" t="str" cm="1">
        <f t="array" aca="1" ref="C192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A1927, "'!C:C")),"NOK"))&gt;0, "NOK", "Pending....")),"")</f>
        <v/>
      </c>
      <c r="D1927" s="24"/>
      <c r="E1927" s="24"/>
      <c r="F1927" s="24"/>
      <c r="G1927" s="29"/>
      <c r="H1927" s="24"/>
    </row>
    <row r="1928" spans="2:8" x14ac:dyDescent="0.25">
      <c r="B1928" s="21" t="str" cm="1">
        <f t="array" aca="1" ref="B192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8" s="22" t="str" cm="1">
        <f t="array" aca="1" ref="C192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A1928, "'!C:C")),"NOK"))&gt;0, "NOK", "Pending....")),"")</f>
        <v/>
      </c>
      <c r="D1928" s="24"/>
      <c r="E1928" s="24"/>
      <c r="F1928" s="24"/>
      <c r="G1928" s="29"/>
      <c r="H1928" s="24"/>
    </row>
    <row r="1929" spans="2:8" x14ac:dyDescent="0.25">
      <c r="B1929" s="21" t="str" cm="1">
        <f t="array" aca="1" ref="B192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29" s="22" t="str" cm="1">
        <f t="array" aca="1" ref="C192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A1929, "'!C:C")),"NOK"))&gt;0, "NOK", "Pending....")),"")</f>
        <v/>
      </c>
      <c r="D1929" s="24"/>
      <c r="E1929" s="24"/>
      <c r="F1929" s="24"/>
      <c r="G1929" s="29"/>
      <c r="H1929" s="24"/>
    </row>
    <row r="1930" spans="2:8" x14ac:dyDescent="0.25">
      <c r="B1930" s="21" t="str" cm="1">
        <f t="array" aca="1" ref="B193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0" s="22" t="str" cm="1">
        <f t="array" aca="1" ref="C193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A1930, "'!C:C")),"NOK"))&gt;0, "NOK", "Pending....")),"")</f>
        <v/>
      </c>
      <c r="D1930" s="24"/>
      <c r="E1930" s="24"/>
      <c r="F1930" s="24"/>
      <c r="G1930" s="29"/>
      <c r="H1930" s="24"/>
    </row>
    <row r="1931" spans="2:8" x14ac:dyDescent="0.25">
      <c r="B1931" s="21" t="str" cm="1">
        <f t="array" aca="1" ref="B193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1" s="22" t="str" cm="1">
        <f t="array" aca="1" ref="C193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A1931, "'!C:C")),"NOK"))&gt;0, "NOK", "Pending....")),"")</f>
        <v/>
      </c>
      <c r="D1931" s="24"/>
      <c r="E1931" s="24"/>
      <c r="F1931" s="24"/>
      <c r="G1931" s="29"/>
      <c r="H1931" s="24"/>
    </row>
    <row r="1932" spans="2:8" x14ac:dyDescent="0.25">
      <c r="B1932" s="21" t="str" cm="1">
        <f t="array" aca="1" ref="B193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2" s="22" t="str" cm="1">
        <f t="array" aca="1" ref="C193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A1932, "'!C:C")),"NOK"))&gt;0, "NOK", "Pending....")),"")</f>
        <v/>
      </c>
      <c r="D1932" s="24"/>
      <c r="E1932" s="24"/>
      <c r="F1932" s="24"/>
      <c r="G1932" s="29"/>
      <c r="H1932" s="24"/>
    </row>
    <row r="1933" spans="2:8" x14ac:dyDescent="0.25">
      <c r="B1933" s="21" t="str" cm="1">
        <f t="array" aca="1" ref="B193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3" s="22" t="str" cm="1">
        <f t="array" aca="1" ref="C193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A1933, "'!C:C")),"NOK"))&gt;0, "NOK", "Pending....")),"")</f>
        <v/>
      </c>
      <c r="D1933" s="24"/>
      <c r="E1933" s="24"/>
      <c r="F1933" s="24"/>
      <c r="G1933" s="29"/>
      <c r="H1933" s="24"/>
    </row>
    <row r="1934" spans="2:8" x14ac:dyDescent="0.25">
      <c r="B1934" s="21" t="str" cm="1">
        <f t="array" aca="1" ref="B193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4" s="22" t="str" cm="1">
        <f t="array" aca="1" ref="C193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A1934, "'!C:C")),"NOK"))&gt;0, "NOK", "Pending....")),"")</f>
        <v/>
      </c>
      <c r="D1934" s="24"/>
      <c r="E1934" s="24"/>
      <c r="F1934" s="24"/>
      <c r="G1934" s="29"/>
      <c r="H1934" s="24"/>
    </row>
    <row r="1935" spans="2:8" x14ac:dyDescent="0.25">
      <c r="B1935" s="21" t="str" cm="1">
        <f t="array" aca="1" ref="B193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5" s="22" t="str" cm="1">
        <f t="array" aca="1" ref="C193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A1935, "'!C:C")),"NOK"))&gt;0, "NOK", "Pending....")),"")</f>
        <v/>
      </c>
      <c r="D1935" s="24"/>
      <c r="E1935" s="24"/>
      <c r="F1935" s="24"/>
      <c r="G1935" s="29"/>
      <c r="H1935" s="24"/>
    </row>
    <row r="1936" spans="2:8" x14ac:dyDescent="0.25">
      <c r="B1936" s="21" t="str" cm="1">
        <f t="array" aca="1" ref="B193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6" s="22" t="str" cm="1">
        <f t="array" aca="1" ref="C193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A1936, "'!C:C")),"NOK"))&gt;0, "NOK", "Pending....")),"")</f>
        <v/>
      </c>
      <c r="D1936" s="24"/>
      <c r="E1936" s="24"/>
      <c r="F1936" s="24"/>
      <c r="G1936" s="29"/>
      <c r="H1936" s="24"/>
    </row>
    <row r="1937" spans="2:8" x14ac:dyDescent="0.25">
      <c r="B1937" s="21" t="str" cm="1">
        <f t="array" aca="1" ref="B193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7" s="22" t="str" cm="1">
        <f t="array" aca="1" ref="C193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A1937, "'!C:C")),"NOK"))&gt;0, "NOK", "Pending....")),"")</f>
        <v/>
      </c>
      <c r="D1937" s="24"/>
      <c r="E1937" s="24"/>
      <c r="F1937" s="24"/>
      <c r="G1937" s="29"/>
      <c r="H1937" s="24"/>
    </row>
    <row r="1938" spans="2:8" x14ac:dyDescent="0.25">
      <c r="B1938" s="21" t="str" cm="1">
        <f t="array" aca="1" ref="B193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8" s="22" t="str" cm="1">
        <f t="array" aca="1" ref="C193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A1938, "'!C:C")),"NOK"))&gt;0, "NOK", "Pending....")),"")</f>
        <v/>
      </c>
      <c r="D1938" s="24"/>
      <c r="E1938" s="24"/>
      <c r="F1938" s="24"/>
      <c r="G1938" s="29"/>
      <c r="H1938" s="24"/>
    </row>
    <row r="1939" spans="2:8" x14ac:dyDescent="0.25">
      <c r="B1939" s="21" t="str" cm="1">
        <f t="array" aca="1" ref="B193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39" s="22" t="str" cm="1">
        <f t="array" aca="1" ref="C193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A1939, "'!C:C")),"NOK"))&gt;0, "NOK", "Pending....")),"")</f>
        <v/>
      </c>
      <c r="D1939" s="24"/>
      <c r="E1939" s="24"/>
      <c r="F1939" s="24"/>
      <c r="G1939" s="29"/>
      <c r="H1939" s="24"/>
    </row>
    <row r="1940" spans="2:8" x14ac:dyDescent="0.25">
      <c r="B1940" s="21" t="str" cm="1">
        <f t="array" aca="1" ref="B194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0" s="22" t="str" cm="1">
        <f t="array" aca="1" ref="C194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A1940, "'!C:C")),"NOK"))&gt;0, "NOK", "Pending....")),"")</f>
        <v/>
      </c>
      <c r="D1940" s="24"/>
      <c r="E1940" s="24"/>
      <c r="F1940" s="24"/>
      <c r="G1940" s="29"/>
      <c r="H1940" s="24"/>
    </row>
    <row r="1941" spans="2:8" x14ac:dyDescent="0.25">
      <c r="B1941" s="21" t="str" cm="1">
        <f t="array" aca="1" ref="B194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1" s="22" t="str" cm="1">
        <f t="array" aca="1" ref="C194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A1941, "'!C:C")),"NOK"))&gt;0, "NOK", "Pending....")),"")</f>
        <v/>
      </c>
      <c r="D1941" s="24"/>
      <c r="E1941" s="24"/>
      <c r="F1941" s="24"/>
      <c r="G1941" s="29"/>
      <c r="H1941" s="24"/>
    </row>
    <row r="1942" spans="2:8" x14ac:dyDescent="0.25">
      <c r="B1942" s="21" t="str" cm="1">
        <f t="array" aca="1" ref="B194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2" s="22" t="str" cm="1">
        <f t="array" aca="1" ref="C194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A1942, "'!C:C")),"NOK"))&gt;0, "NOK", "Pending....")),"")</f>
        <v/>
      </c>
      <c r="D1942" s="24"/>
      <c r="E1942" s="24"/>
      <c r="F1942" s="24"/>
      <c r="G1942" s="29"/>
      <c r="H1942" s="24"/>
    </row>
    <row r="1943" spans="2:8" x14ac:dyDescent="0.25">
      <c r="B1943" s="21" t="str" cm="1">
        <f t="array" aca="1" ref="B194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3" s="22" t="str" cm="1">
        <f t="array" aca="1" ref="C194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A1943, "'!C:C")),"NOK"))&gt;0, "NOK", "Pending....")),"")</f>
        <v/>
      </c>
      <c r="D1943" s="24"/>
      <c r="E1943" s="24"/>
      <c r="F1943" s="24"/>
      <c r="G1943" s="29"/>
      <c r="H1943" s="24"/>
    </row>
    <row r="1944" spans="2:8" x14ac:dyDescent="0.25">
      <c r="B1944" s="21" t="str" cm="1">
        <f t="array" aca="1" ref="B194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4" s="22" t="str" cm="1">
        <f t="array" aca="1" ref="C194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A1944, "'!C:C")),"NOK"))&gt;0, "NOK", "Pending....")),"")</f>
        <v/>
      </c>
      <c r="D1944" s="24"/>
      <c r="E1944" s="24"/>
      <c r="F1944" s="24"/>
      <c r="G1944" s="29"/>
      <c r="H1944" s="24"/>
    </row>
    <row r="1945" spans="2:8" x14ac:dyDescent="0.25">
      <c r="B1945" s="21" t="str" cm="1">
        <f t="array" aca="1" ref="B194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5" s="22" t="str" cm="1">
        <f t="array" aca="1" ref="C194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A1945, "'!C:C")),"NOK"))&gt;0, "NOK", "Pending....")),"")</f>
        <v/>
      </c>
      <c r="D1945" s="24"/>
      <c r="E1945" s="24"/>
      <c r="F1945" s="24"/>
      <c r="G1945" s="29"/>
      <c r="H1945" s="24"/>
    </row>
    <row r="1946" spans="2:8" x14ac:dyDescent="0.25">
      <c r="B1946" s="21" t="str" cm="1">
        <f t="array" aca="1" ref="B194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6" s="22" t="str" cm="1">
        <f t="array" aca="1" ref="C194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A1946, "'!C:C")),"NOK"))&gt;0, "NOK", "Pending....")),"")</f>
        <v/>
      </c>
      <c r="D1946" s="24"/>
      <c r="E1946" s="24"/>
      <c r="F1946" s="24"/>
      <c r="G1946" s="29"/>
      <c r="H1946" s="24"/>
    </row>
    <row r="1947" spans="2:8" x14ac:dyDescent="0.25">
      <c r="B1947" s="21" t="str" cm="1">
        <f t="array" aca="1" ref="B194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7" s="22" t="str" cm="1">
        <f t="array" aca="1" ref="C194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A1947, "'!C:C")),"NOK"))&gt;0, "NOK", "Pending....")),"")</f>
        <v/>
      </c>
      <c r="D1947" s="24"/>
      <c r="E1947" s="24"/>
      <c r="F1947" s="24"/>
      <c r="G1947" s="29"/>
      <c r="H1947" s="24"/>
    </row>
    <row r="1948" spans="2:8" x14ac:dyDescent="0.25">
      <c r="B1948" s="21" t="str" cm="1">
        <f t="array" aca="1" ref="B194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8" s="22" t="str" cm="1">
        <f t="array" aca="1" ref="C194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A1948, "'!C:C")),"NOK"))&gt;0, "NOK", "Pending....")),"")</f>
        <v/>
      </c>
      <c r="D1948" s="24"/>
      <c r="E1948" s="24"/>
      <c r="F1948" s="24"/>
      <c r="G1948" s="29"/>
      <c r="H1948" s="24"/>
    </row>
    <row r="1949" spans="2:8" x14ac:dyDescent="0.25">
      <c r="B1949" s="21" t="str" cm="1">
        <f t="array" aca="1" ref="B194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49" s="22" t="str" cm="1">
        <f t="array" aca="1" ref="C194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A1949, "'!C:C")),"NOK"))&gt;0, "NOK", "Pending....")),"")</f>
        <v/>
      </c>
      <c r="D1949" s="24"/>
      <c r="E1949" s="24"/>
      <c r="F1949" s="24"/>
      <c r="G1949" s="29"/>
      <c r="H1949" s="24"/>
    </row>
    <row r="1950" spans="2:8" x14ac:dyDescent="0.25">
      <c r="B1950" s="21" t="str" cm="1">
        <f t="array" aca="1" ref="B195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0" s="22" t="str" cm="1">
        <f t="array" aca="1" ref="C195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A1950, "'!C:C")),"NOK"))&gt;0, "NOK", "Pending....")),"")</f>
        <v/>
      </c>
      <c r="D1950" s="24"/>
      <c r="E1950" s="24"/>
      <c r="F1950" s="24"/>
      <c r="G1950" s="29"/>
      <c r="H1950" s="24"/>
    </row>
    <row r="1951" spans="2:8" x14ac:dyDescent="0.25">
      <c r="B1951" s="21" t="str" cm="1">
        <f t="array" aca="1" ref="B195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1" s="22" t="str" cm="1">
        <f t="array" aca="1" ref="C195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A1951, "'!C:C")),"NOK"))&gt;0, "NOK", "Pending....")),"")</f>
        <v/>
      </c>
      <c r="D1951" s="24"/>
      <c r="E1951" s="24"/>
      <c r="F1951" s="24"/>
      <c r="G1951" s="29"/>
      <c r="H1951" s="24"/>
    </row>
    <row r="1952" spans="2:8" x14ac:dyDescent="0.25">
      <c r="B1952" s="21" t="str" cm="1">
        <f t="array" aca="1" ref="B195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2" s="22" t="str" cm="1">
        <f t="array" aca="1" ref="C195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A1952, "'!C:C")),"NOK"))&gt;0, "NOK", "Pending....")),"")</f>
        <v/>
      </c>
      <c r="D1952" s="24"/>
      <c r="E1952" s="24"/>
      <c r="F1952" s="24"/>
      <c r="G1952" s="29"/>
      <c r="H1952" s="24"/>
    </row>
    <row r="1953" spans="2:8" x14ac:dyDescent="0.25">
      <c r="B1953" s="21" t="str" cm="1">
        <f t="array" aca="1" ref="B195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3" s="22" t="str" cm="1">
        <f t="array" aca="1" ref="C195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A1953, "'!C:C")),"NOK"))&gt;0, "NOK", "Pending....")),"")</f>
        <v/>
      </c>
      <c r="D1953" s="24"/>
      <c r="E1953" s="24"/>
      <c r="F1953" s="24"/>
      <c r="G1953" s="29"/>
      <c r="H1953" s="24"/>
    </row>
    <row r="1954" spans="2:8" x14ac:dyDescent="0.25">
      <c r="B1954" s="21" t="str" cm="1">
        <f t="array" aca="1" ref="B195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4" s="22" t="str" cm="1">
        <f t="array" aca="1" ref="C195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A1954, "'!C:C")),"NOK"))&gt;0, "NOK", "Pending....")),"")</f>
        <v/>
      </c>
      <c r="D1954" s="24"/>
      <c r="E1954" s="24"/>
      <c r="F1954" s="24"/>
      <c r="G1954" s="29"/>
      <c r="H1954" s="24"/>
    </row>
    <row r="1955" spans="2:8" x14ac:dyDescent="0.25">
      <c r="B1955" s="21" t="str" cm="1">
        <f t="array" aca="1" ref="B195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5" s="22" t="str" cm="1">
        <f t="array" aca="1" ref="C195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A1955, "'!C:C")),"NOK"))&gt;0, "NOK", "Pending....")),"")</f>
        <v/>
      </c>
      <c r="D1955" s="24"/>
      <c r="E1955" s="24"/>
      <c r="F1955" s="24"/>
      <c r="G1955" s="29"/>
      <c r="H1955" s="24"/>
    </row>
    <row r="1956" spans="2:8" x14ac:dyDescent="0.25">
      <c r="B1956" s="21" t="str" cm="1">
        <f t="array" aca="1" ref="B195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6" s="22" t="str" cm="1">
        <f t="array" aca="1" ref="C195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A1956, "'!C:C")),"NOK"))&gt;0, "NOK", "Pending....")),"")</f>
        <v/>
      </c>
      <c r="D1956" s="24"/>
      <c r="E1956" s="24"/>
      <c r="F1956" s="24"/>
      <c r="G1956" s="29"/>
      <c r="H1956" s="24"/>
    </row>
    <row r="1957" spans="2:8" x14ac:dyDescent="0.25">
      <c r="B1957" s="21" t="str" cm="1">
        <f t="array" aca="1" ref="B195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7" s="22" t="str" cm="1">
        <f t="array" aca="1" ref="C195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A1957, "'!C:C")),"NOK"))&gt;0, "NOK", "Pending....")),"")</f>
        <v/>
      </c>
      <c r="D1957" s="24"/>
      <c r="E1957" s="24"/>
      <c r="F1957" s="24"/>
      <c r="G1957" s="29"/>
      <c r="H1957" s="24"/>
    </row>
    <row r="1958" spans="2:8" x14ac:dyDescent="0.25">
      <c r="B1958" s="21" t="str" cm="1">
        <f t="array" aca="1" ref="B195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8" s="22" t="str" cm="1">
        <f t="array" aca="1" ref="C195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A1958, "'!C:C")),"NOK"))&gt;0, "NOK", "Pending....")),"")</f>
        <v/>
      </c>
      <c r="D1958" s="24"/>
      <c r="E1958" s="24"/>
      <c r="F1958" s="24"/>
      <c r="G1958" s="29"/>
      <c r="H1958" s="24"/>
    </row>
    <row r="1959" spans="2:8" x14ac:dyDescent="0.25">
      <c r="B1959" s="21" t="str" cm="1">
        <f t="array" aca="1" ref="B195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59" s="22" t="str" cm="1">
        <f t="array" aca="1" ref="C195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A1959, "'!C:C")),"NOK"))&gt;0, "NOK", "Pending....")),"")</f>
        <v/>
      </c>
      <c r="D1959" s="24"/>
      <c r="E1959" s="24"/>
      <c r="F1959" s="24"/>
      <c r="G1959" s="29"/>
      <c r="H1959" s="24"/>
    </row>
    <row r="1960" spans="2:8" x14ac:dyDescent="0.25">
      <c r="B1960" s="21" t="str" cm="1">
        <f t="array" aca="1" ref="B196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0" s="22" t="str" cm="1">
        <f t="array" aca="1" ref="C196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A1960, "'!C:C")),"NOK"))&gt;0, "NOK", "Pending....")),"")</f>
        <v/>
      </c>
      <c r="D1960" s="24"/>
      <c r="E1960" s="24"/>
      <c r="F1960" s="24"/>
      <c r="G1960" s="29"/>
      <c r="H1960" s="24"/>
    </row>
    <row r="1961" spans="2:8" x14ac:dyDescent="0.25">
      <c r="B1961" s="21" t="str" cm="1">
        <f t="array" aca="1" ref="B196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1" s="22" t="str" cm="1">
        <f t="array" aca="1" ref="C196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A1961, "'!C:C")),"NOK"))&gt;0, "NOK", "Pending....")),"")</f>
        <v/>
      </c>
      <c r="D1961" s="24"/>
      <c r="E1961" s="24"/>
      <c r="F1961" s="24"/>
      <c r="G1961" s="29"/>
      <c r="H1961" s="24"/>
    </row>
    <row r="1962" spans="2:8" x14ac:dyDescent="0.25">
      <c r="B1962" s="21" t="str" cm="1">
        <f t="array" aca="1" ref="B196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2" s="22" t="str" cm="1">
        <f t="array" aca="1" ref="C196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A1962, "'!C:C")),"NOK"))&gt;0, "NOK", "Pending....")),"")</f>
        <v/>
      </c>
      <c r="D1962" s="24"/>
      <c r="E1962" s="24"/>
      <c r="F1962" s="24"/>
      <c r="G1962" s="29"/>
      <c r="H1962" s="24"/>
    </row>
    <row r="1963" spans="2:8" x14ac:dyDescent="0.25">
      <c r="B1963" s="21" t="str" cm="1">
        <f t="array" aca="1" ref="B196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3" s="22" t="str" cm="1">
        <f t="array" aca="1" ref="C196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A1963, "'!C:C")),"NOK"))&gt;0, "NOK", "Pending....")),"")</f>
        <v/>
      </c>
      <c r="D1963" s="24"/>
      <c r="E1963" s="24"/>
      <c r="F1963" s="24"/>
      <c r="G1963" s="29"/>
      <c r="H1963" s="24"/>
    </row>
    <row r="1964" spans="2:8" x14ac:dyDescent="0.25">
      <c r="B1964" s="21" t="str" cm="1">
        <f t="array" aca="1" ref="B196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4" s="22" t="str" cm="1">
        <f t="array" aca="1" ref="C196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A1964, "'!C:C")),"NOK"))&gt;0, "NOK", "Pending....")),"")</f>
        <v/>
      </c>
      <c r="D1964" s="24"/>
      <c r="E1964" s="24"/>
      <c r="F1964" s="24"/>
      <c r="G1964" s="29"/>
      <c r="H1964" s="24"/>
    </row>
    <row r="1965" spans="2:8" x14ac:dyDescent="0.25">
      <c r="B1965" s="21" t="str" cm="1">
        <f t="array" aca="1" ref="B196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5" s="22" t="str" cm="1">
        <f t="array" aca="1" ref="C196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A1965, "'!C:C")),"NOK"))&gt;0, "NOK", "Pending....")),"")</f>
        <v/>
      </c>
      <c r="D1965" s="24"/>
      <c r="E1965" s="24"/>
      <c r="F1965" s="24"/>
      <c r="G1965" s="29"/>
      <c r="H1965" s="24"/>
    </row>
    <row r="1966" spans="2:8" x14ac:dyDescent="0.25">
      <c r="B1966" s="21" t="str" cm="1">
        <f t="array" aca="1" ref="B196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6" s="22" t="str" cm="1">
        <f t="array" aca="1" ref="C196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A1966, "'!C:C")),"NOK"))&gt;0, "NOK", "Pending....")),"")</f>
        <v/>
      </c>
      <c r="D1966" s="24"/>
      <c r="E1966" s="24"/>
      <c r="F1966" s="24"/>
      <c r="G1966" s="29"/>
      <c r="H1966" s="24"/>
    </row>
    <row r="1967" spans="2:8" x14ac:dyDescent="0.25">
      <c r="B1967" s="21" t="str" cm="1">
        <f t="array" aca="1" ref="B1967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7" s="22" t="str" cm="1">
        <f t="array" aca="1" ref="C1967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A1967, "'!C:C")),"NOK"))&gt;0, "NOK", "Pending....")),"")</f>
        <v/>
      </c>
      <c r="D1967" s="24"/>
      <c r="E1967" s="24"/>
      <c r="F1967" s="24"/>
      <c r="G1967" s="29"/>
      <c r="H1967" s="24"/>
    </row>
    <row r="1968" spans="2:8" x14ac:dyDescent="0.25">
      <c r="B1968" s="21" t="str" cm="1">
        <f t="array" aca="1" ref="B1968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8" s="22" t="str" cm="1">
        <f t="array" aca="1" ref="C1968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A1968, "'!C:C")),"NOK"))&gt;0, "NOK", "Pending....")),"")</f>
        <v/>
      </c>
      <c r="D1968" s="24"/>
      <c r="E1968" s="24"/>
      <c r="F1968" s="24"/>
      <c r="G1968" s="29"/>
      <c r="H1968" s="24"/>
    </row>
    <row r="1969" spans="2:8" x14ac:dyDescent="0.25">
      <c r="B1969" s="21" t="str" cm="1">
        <f t="array" aca="1" ref="B1969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69" s="22" t="str" cm="1">
        <f t="array" aca="1" ref="C1969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A1969, "'!C:C")),"NOK"))&gt;0, "NOK", "Pending....")),"")</f>
        <v/>
      </c>
      <c r="D1969" s="24"/>
      <c r="E1969" s="24"/>
      <c r="F1969" s="24"/>
      <c r="G1969" s="29"/>
      <c r="H1969" s="24"/>
    </row>
    <row r="1970" spans="2:8" x14ac:dyDescent="0.25">
      <c r="B1970" s="21" t="str" cm="1">
        <f t="array" aca="1" ref="B1970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70" s="22" t="str" cm="1">
        <f t="array" aca="1" ref="C1970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A1970, "'!C:C")),"NOK"))&gt;0, "NOK", "Pending....")),"")</f>
        <v/>
      </c>
      <c r="D1970" s="24"/>
      <c r="E1970" s="24"/>
      <c r="F1970" s="24"/>
      <c r="G1970" s="29"/>
      <c r="H1970" s="24"/>
    </row>
    <row r="1971" spans="2:8" x14ac:dyDescent="0.25">
      <c r="B1971" s="21" t="str" cm="1">
        <f t="array" aca="1" ref="B1971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71" s="22" t="str" cm="1">
        <f t="array" aca="1" ref="C1971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A1971, "'!C:C")),"NOK"))&gt;0, "NOK", "Pending....")),"")</f>
        <v/>
      </c>
      <c r="D1971" s="24"/>
      <c r="E1971" s="24"/>
      <c r="F1971" s="24"/>
      <c r="G1971" s="29"/>
      <c r="H1971" s="24"/>
    </row>
    <row r="1972" spans="2:8" x14ac:dyDescent="0.25">
      <c r="B1972" s="21" t="str" cm="1">
        <f t="array" aca="1" ref="B1972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72" s="22" t="str" cm="1">
        <f t="array" aca="1" ref="C1972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A1972, "'!C:C")),"NOK"))&gt;0, "NOK", "Pending....")),"")</f>
        <v/>
      </c>
      <c r="D1972" s="24"/>
      <c r="E1972" s="24"/>
      <c r="F1972" s="24"/>
      <c r="G1972" s="29"/>
      <c r="H1972" s="24"/>
    </row>
    <row r="1973" spans="2:8" x14ac:dyDescent="0.25">
      <c r="B1973" s="21" t="str" cm="1">
        <f t="array" aca="1" ref="B1973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73" s="22" t="str" cm="1">
        <f t="array" aca="1" ref="C1973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A1973, "'!C:C")),"NOK"))&gt;0, "NOK", "Pending....")),"")</f>
        <v/>
      </c>
      <c r="D1973" s="24"/>
      <c r="E1973" s="24"/>
      <c r="F1973" s="24"/>
      <c r="G1973" s="29"/>
      <c r="H1973" s="24"/>
    </row>
    <row r="1974" spans="2:8" x14ac:dyDescent="0.25">
      <c r="B1974" s="21" t="str" cm="1">
        <f t="array" aca="1" ref="B1974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74" s="22" t="str" cm="1">
        <f t="array" aca="1" ref="C1974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A1974, "'!C:C")),"NOK"))&gt;0, "NOK", "Pending....")),"")</f>
        <v/>
      </c>
      <c r="D1974" s="24"/>
      <c r="E1974" s="24"/>
      <c r="F1974" s="24"/>
      <c r="G1974" s="29"/>
      <c r="H1974" s="24"/>
    </row>
    <row r="1975" spans="2:8" x14ac:dyDescent="0.25">
      <c r="B1975" s="21" t="str" cm="1">
        <f t="array" aca="1" ref="B1975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75" s="22" t="str" cm="1">
        <f t="array" aca="1" ref="C1975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A1975, "'!C:C")),"NOK"))&gt;0, "NOK", "Pending....")),"")</f>
        <v/>
      </c>
      <c r="D1975" s="24"/>
      <c r="E1975" s="24"/>
      <c r="F1975" s="24"/>
      <c r="G1975" s="29"/>
      <c r="H1975" s="24"/>
    </row>
    <row r="1976" spans="2:8" x14ac:dyDescent="0.25">
      <c r="B1976" s="21" t="str" cm="1">
        <f t="array" aca="1" ref="B1976" ca="1">IF(INDIRECT(_xlfn.CONCAT("A",ROW()))&lt;&gt;"",HYPERLINK(_xlfn.CONCAT(_xlfn.CONCAT("[",_xlfn.TEXTBEFORE(_xlfn.TEXTAFTER(CELL("filename",INDIRECT("A1")),"["),"]"),"]'CV-"),INDIRECT(_xlfn.CONCAT("A",ROW())),"'!A1"),_xlfn.CONCAT("CV-",INDIRECT(_xlfn.CONCAT("A",ROW())))),"")</f>
        <v/>
      </c>
      <c r="C1976" s="22" t="str" cm="1">
        <f t="array" aca="1" ref="C1976" ca="1">IF(INDIRECT(_xlfn.CONCAT("A",ROW()))&lt;&gt;"",IF((COUNTIF(INDIRECT(_xlfn.CONCAT("'CV-", INDIRECT(_xlfn.CONCAT("A",ROW())), "'!C:C")),"OK"))=(COUNTIF(INDIRECT(_xlfn.CONCAT("'CV-",INDIRECT(_xlfn.CONCAT("A",ROW())), "'!A:A")),"&lt;&gt;")-1),"Tests OK", IF((COUNTIF(INDIRECT(_xlfn.CONCAT("'CV-", A1976, "'!C:C")),"NOK"))&gt;0, "NOK", "Pending....")),"")</f>
        <v/>
      </c>
    </row>
  </sheetData>
  <sheetProtection algorithmName="SHA-512" hashValue="VFBmiGFD5YMzYj9RAVjm0sCkhPJDTrenwanS2Yn/XI87qiXZB2LGhuA7aakM2M5O11OfLDMDsOxZFo/MuOh7ZQ==" saltValue="caoZ0CX8bI81Jq2K1PvJHg==" spinCount="100000" sheet="1" objects="1" scenarios="1" sort="0" autoFilter="0"/>
  <autoFilter ref="A1:H1976" xr:uid="{4F06A44F-EB9C-4654-82E0-BA1854DDA88B}">
    <sortState xmlns:xlrd2="http://schemas.microsoft.com/office/spreadsheetml/2017/richdata2" ref="A2:H1976">
      <sortCondition ref="A1:A1976"/>
    </sortState>
  </autoFilter>
  <phoneticPr fontId="11" type="noConversion"/>
  <conditionalFormatting sqref="C1:C1048576">
    <cfRule type="cellIs" dxfId="3" priority="4" operator="equal">
      <formula>"NOK"</formula>
    </cfRule>
    <cfRule type="cellIs" dxfId="2" priority="5" operator="equal">
      <formula>"Pending...."</formula>
    </cfRule>
    <cfRule type="cellIs" dxfId="1" priority="6" operator="equal">
      <formula>"Tests OK"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5341-B2C0-48EB-A5C9-B2C9C6178676}">
  <sheetPr codeName="TestCases">
    <tabColor rgb="FFFFFF00"/>
  </sheetPr>
  <dimension ref="A1:L21992"/>
  <sheetViews>
    <sheetView tabSelected="1" zoomScale="94" zoomScaleNormal="94" workbookViewId="0">
      <pane ySplit="1" topLeftCell="A2" activePane="bottomLeft" state="frozen"/>
      <selection activeCell="F37" sqref="F37"/>
      <selection pane="bottomLeft" activeCell="C34" sqref="C34"/>
    </sheetView>
  </sheetViews>
  <sheetFormatPr defaultRowHeight="15" x14ac:dyDescent="0.25"/>
  <cols>
    <col min="1" max="1" width="19.7109375" style="33" customWidth="1"/>
    <col min="2" max="2" width="14.28515625" style="12" customWidth="1"/>
    <col min="3" max="3" width="26" bestFit="1" customWidth="1"/>
    <col min="4" max="5" width="26" customWidth="1"/>
    <col min="6" max="6" width="36.42578125" style="33" bestFit="1" customWidth="1"/>
    <col min="7" max="7" width="36" style="12" customWidth="1"/>
    <col min="8" max="8" width="10.42578125" style="12" customWidth="1"/>
    <col min="9" max="9" width="9.140625" style="12"/>
    <col min="10" max="10" width="70.85546875" style="12" customWidth="1"/>
    <col min="12" max="12" width="18.28515625" customWidth="1"/>
  </cols>
  <sheetData>
    <row r="1" spans="1:12" x14ac:dyDescent="0.25">
      <c r="A1" s="31" t="s">
        <v>8</v>
      </c>
      <c r="B1" s="30" t="s">
        <v>2</v>
      </c>
      <c r="C1" s="30" t="s">
        <v>3</v>
      </c>
      <c r="D1" s="30" t="s">
        <v>4</v>
      </c>
      <c r="E1" s="30" t="s">
        <v>15</v>
      </c>
      <c r="F1" s="31" t="s">
        <v>16</v>
      </c>
      <c r="G1" s="11" t="s">
        <v>17</v>
      </c>
    </row>
    <row r="2" spans="1:12" x14ac:dyDescent="0.25">
      <c r="A2" s="48"/>
      <c r="D2" t="str" cm="1">
        <f t="array" aca="1" ref="D2" ca="1">IF(A2&lt;&gt;"",IF(C2&lt;&gt;"","",_xlfn.IFNA(HYPERLINK(_xlfn.CONCAT("[", _xlfn.TEXTBEFORE(_xlfn.TEXTAFTER(CELL("filename",$A$1),"["),"]"),"]'TestCases'!A",_xlfn.XMATCH(A2,C$2:C$19969,0)+1),INDEX(A$1:A$19969,_xlfn.XMATCH(A2,C$2:C$19969,0)+1,1)),"")),"")</f>
        <v/>
      </c>
      <c r="E2" s="54"/>
      <c r="F2"/>
      <c r="G2"/>
    </row>
    <row r="3" spans="1:12" x14ac:dyDescent="0.25">
      <c r="A3" s="48"/>
      <c r="E3" s="54"/>
      <c r="F3"/>
      <c r="G3"/>
      <c r="H3" s="36"/>
    </row>
    <row r="4" spans="1:12" x14ac:dyDescent="0.25">
      <c r="A4" s="48"/>
      <c r="E4" s="54"/>
      <c r="F4"/>
      <c r="G4"/>
    </row>
    <row r="5" spans="1:12" x14ac:dyDescent="0.25">
      <c r="A5" s="48"/>
      <c r="E5" s="54"/>
      <c r="F5"/>
      <c r="G5"/>
      <c r="I5" s="35"/>
      <c r="J5"/>
    </row>
    <row r="6" spans="1:12" x14ac:dyDescent="0.25">
      <c r="A6" s="48"/>
      <c r="E6" s="54"/>
      <c r="F6"/>
      <c r="G6"/>
    </row>
    <row r="7" spans="1:12" x14ac:dyDescent="0.25">
      <c r="A7" s="48"/>
      <c r="E7" s="54"/>
      <c r="F7"/>
      <c r="G7"/>
    </row>
    <row r="8" spans="1:12" x14ac:dyDescent="0.25">
      <c r="A8" s="39"/>
      <c r="E8" s="54"/>
      <c r="F8" s="2"/>
      <c r="G8"/>
      <c r="L8" s="3"/>
    </row>
    <row r="9" spans="1:12" x14ac:dyDescent="0.25">
      <c r="A9" s="39"/>
      <c r="F9" s="2"/>
      <c r="G9"/>
    </row>
    <row r="10" spans="1:12" x14ac:dyDescent="0.25">
      <c r="A10" s="39"/>
      <c r="F10" s="2"/>
      <c r="G10"/>
    </row>
    <row r="11" spans="1:12" x14ac:dyDescent="0.25">
      <c r="A11" s="39"/>
      <c r="F11" s="2"/>
      <c r="G11"/>
    </row>
    <row r="12" spans="1:12" x14ac:dyDescent="0.25">
      <c r="A12" s="48"/>
      <c r="E12" s="54"/>
      <c r="F12"/>
      <c r="G12"/>
    </row>
    <row r="13" spans="1:12" x14ac:dyDescent="0.25">
      <c r="A13" s="48"/>
      <c r="E13" s="54"/>
      <c r="F13"/>
      <c r="G13"/>
    </row>
    <row r="14" spans="1:12" x14ac:dyDescent="0.25">
      <c r="G14"/>
    </row>
    <row r="15" spans="1:12" x14ac:dyDescent="0.25">
      <c r="G15"/>
    </row>
    <row r="16" spans="1:12" x14ac:dyDescent="0.25">
      <c r="G16"/>
    </row>
    <row r="17" spans="1:7" x14ac:dyDescent="0.25">
      <c r="G17"/>
    </row>
    <row r="18" spans="1:7" x14ac:dyDescent="0.25">
      <c r="A18" s="39"/>
      <c r="E18" s="54"/>
      <c r="F18" s="2"/>
      <c r="G18"/>
    </row>
    <row r="19" spans="1:7" x14ac:dyDescent="0.25">
      <c r="A19" s="39"/>
      <c r="E19" s="54"/>
      <c r="F19" s="2"/>
      <c r="G19"/>
    </row>
    <row r="20" spans="1:7" x14ac:dyDescent="0.25">
      <c r="A20" s="48"/>
      <c r="E20" s="54"/>
      <c r="F20"/>
      <c r="G20"/>
    </row>
    <row r="21" spans="1:7" x14ac:dyDescent="0.25">
      <c r="A21" s="48"/>
      <c r="E21" s="54"/>
      <c r="F21"/>
      <c r="G21"/>
    </row>
    <row r="22" spans="1:7" x14ac:dyDescent="0.25">
      <c r="A22" s="39"/>
      <c r="E22" s="54"/>
      <c r="F22" s="2"/>
      <c r="G22"/>
    </row>
    <row r="23" spans="1:7" x14ac:dyDescent="0.25">
      <c r="A23" s="39"/>
      <c r="G23"/>
    </row>
    <row r="24" spans="1:7" x14ac:dyDescent="0.25">
      <c r="A24" s="39"/>
      <c r="G24"/>
    </row>
    <row r="25" spans="1:7" x14ac:dyDescent="0.25">
      <c r="A25" s="39"/>
      <c r="F25" s="2"/>
      <c r="G25"/>
    </row>
    <row r="26" spans="1:7" x14ac:dyDescent="0.25">
      <c r="A26" s="48"/>
      <c r="E26" s="54"/>
      <c r="F26"/>
      <c r="G26"/>
    </row>
    <row r="27" spans="1:7" x14ac:dyDescent="0.25">
      <c r="A27" s="48"/>
      <c r="E27" s="54"/>
      <c r="F27"/>
      <c r="G27"/>
    </row>
    <row r="28" spans="1:7" x14ac:dyDescent="0.25">
      <c r="A28" s="48"/>
      <c r="E28" s="54"/>
      <c r="F28"/>
      <c r="G28"/>
    </row>
    <row r="29" spans="1:7" x14ac:dyDescent="0.25">
      <c r="A29" s="48"/>
      <c r="E29" s="54"/>
      <c r="F29"/>
      <c r="G29"/>
    </row>
    <row r="30" spans="1:7" x14ac:dyDescent="0.25">
      <c r="A30" s="48"/>
      <c r="E30" s="54"/>
      <c r="F30"/>
      <c r="G30"/>
    </row>
    <row r="31" spans="1:7" x14ac:dyDescent="0.25">
      <c r="A31" s="39"/>
      <c r="E31" s="54"/>
      <c r="G31"/>
    </row>
    <row r="32" spans="1:7" x14ac:dyDescent="0.25">
      <c r="A32" s="39"/>
      <c r="E32" s="54"/>
      <c r="G32"/>
    </row>
    <row r="33" spans="1:7" x14ac:dyDescent="0.25">
      <c r="A33" s="48"/>
      <c r="E33" s="54"/>
      <c r="F33"/>
      <c r="G33"/>
    </row>
    <row r="34" spans="1:7" x14ac:dyDescent="0.25">
      <c r="A34" s="48"/>
      <c r="E34" s="54"/>
      <c r="F34"/>
      <c r="G34"/>
    </row>
    <row r="35" spans="1:7" x14ac:dyDescent="0.25">
      <c r="A35" s="48"/>
      <c r="E35" s="54"/>
      <c r="F35"/>
      <c r="G35"/>
    </row>
    <row r="36" spans="1:7" x14ac:dyDescent="0.25">
      <c r="A36" s="48"/>
      <c r="E36" s="54"/>
      <c r="F36"/>
      <c r="G36"/>
    </row>
    <row r="37" spans="1:7" x14ac:dyDescent="0.25">
      <c r="G37"/>
    </row>
    <row r="38" spans="1:7" x14ac:dyDescent="0.25">
      <c r="G38"/>
    </row>
    <row r="39" spans="1:7" x14ac:dyDescent="0.25">
      <c r="G39"/>
    </row>
    <row r="40" spans="1:7" x14ac:dyDescent="0.25">
      <c r="G40"/>
    </row>
    <row r="41" spans="1:7" x14ac:dyDescent="0.25">
      <c r="G41"/>
    </row>
    <row r="42" spans="1:7" x14ac:dyDescent="0.25">
      <c r="A42" s="48"/>
      <c r="E42" s="54"/>
      <c r="F42"/>
      <c r="G42"/>
    </row>
    <row r="43" spans="1:7" x14ac:dyDescent="0.25">
      <c r="G43"/>
    </row>
    <row r="44" spans="1:7" x14ac:dyDescent="0.25">
      <c r="G44"/>
    </row>
    <row r="45" spans="1:7" x14ac:dyDescent="0.25">
      <c r="G45"/>
    </row>
    <row r="46" spans="1:7" x14ac:dyDescent="0.25">
      <c r="G46"/>
    </row>
    <row r="47" spans="1:7" x14ac:dyDescent="0.25">
      <c r="G47"/>
    </row>
    <row r="48" spans="1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1:7" x14ac:dyDescent="0.25">
      <c r="G129"/>
    </row>
    <row r="130" spans="1:7" x14ac:dyDescent="0.25">
      <c r="G130"/>
    </row>
    <row r="131" spans="1:7" x14ac:dyDescent="0.25">
      <c r="G131"/>
    </row>
    <row r="132" spans="1:7" x14ac:dyDescent="0.25">
      <c r="G132"/>
    </row>
    <row r="133" spans="1:7" x14ac:dyDescent="0.25">
      <c r="G133"/>
    </row>
    <row r="134" spans="1:7" x14ac:dyDescent="0.25">
      <c r="G134"/>
    </row>
    <row r="135" spans="1:7" x14ac:dyDescent="0.25">
      <c r="G135"/>
    </row>
    <row r="136" spans="1:7" x14ac:dyDescent="0.25">
      <c r="A136" s="48"/>
      <c r="E136" s="54"/>
      <c r="F136"/>
      <c r="G136"/>
    </row>
    <row r="137" spans="1:7" x14ac:dyDescent="0.25">
      <c r="G137"/>
    </row>
    <row r="138" spans="1:7" x14ac:dyDescent="0.25">
      <c r="A138" s="48"/>
      <c r="E138" s="54"/>
      <c r="F138"/>
      <c r="G138"/>
    </row>
    <row r="139" spans="1:7" x14ac:dyDescent="0.25">
      <c r="G139"/>
    </row>
    <row r="140" spans="1:7" x14ac:dyDescent="0.25">
      <c r="A140" s="48"/>
      <c r="E140" s="54"/>
      <c r="F140"/>
      <c r="G140"/>
    </row>
    <row r="141" spans="1:7" x14ac:dyDescent="0.25">
      <c r="A141" s="48"/>
      <c r="E141" s="54"/>
      <c r="F141"/>
      <c r="G141"/>
    </row>
    <row r="142" spans="1:7" x14ac:dyDescent="0.25">
      <c r="A142" s="48"/>
      <c r="E142" s="54"/>
      <c r="F142"/>
      <c r="G142"/>
    </row>
    <row r="143" spans="1:7" x14ac:dyDescent="0.25">
      <c r="A143" s="48"/>
      <c r="E143" s="54"/>
      <c r="F143"/>
      <c r="G143"/>
    </row>
    <row r="144" spans="1:7" x14ac:dyDescent="0.25">
      <c r="A144" s="48"/>
      <c r="E144" s="54"/>
      <c r="F144"/>
      <c r="G144"/>
    </row>
    <row r="145" spans="1:7" x14ac:dyDescent="0.25">
      <c r="A145" s="47"/>
      <c r="E145" s="54"/>
      <c r="G145"/>
    </row>
    <row r="146" spans="1:7" x14ac:dyDescent="0.25">
      <c r="A146" s="47"/>
      <c r="E146" s="54"/>
      <c r="G146"/>
    </row>
    <row r="147" spans="1:7" x14ac:dyDescent="0.25">
      <c r="A147" s="47"/>
      <c r="E147" s="54"/>
      <c r="G147"/>
    </row>
    <row r="148" spans="1:7" x14ac:dyDescent="0.25">
      <c r="A148" s="47"/>
      <c r="E148" s="54"/>
      <c r="G148"/>
    </row>
    <row r="149" spans="1:7" x14ac:dyDescent="0.25">
      <c r="G149"/>
    </row>
    <row r="150" spans="1:7" x14ac:dyDescent="0.25">
      <c r="A150" s="47"/>
      <c r="E150" s="54"/>
      <c r="G150"/>
    </row>
    <row r="151" spans="1:7" x14ac:dyDescent="0.25">
      <c r="A151" s="47"/>
      <c r="E151" s="54"/>
      <c r="G151"/>
    </row>
    <row r="152" spans="1:7" x14ac:dyDescent="0.25">
      <c r="G152"/>
    </row>
    <row r="153" spans="1:7" x14ac:dyDescent="0.25">
      <c r="A153" s="47"/>
      <c r="E153" s="54"/>
      <c r="G153"/>
    </row>
    <row r="154" spans="1:7" x14ac:dyDescent="0.25">
      <c r="A154" s="49"/>
      <c r="E154" s="54"/>
      <c r="F154" s="2"/>
      <c r="G154"/>
    </row>
    <row r="155" spans="1:7" x14ac:dyDescent="0.25">
      <c r="G155"/>
    </row>
    <row r="156" spans="1:7" x14ac:dyDescent="0.25">
      <c r="A156" s="49"/>
      <c r="E156" s="54"/>
      <c r="F156" s="2"/>
      <c r="G156"/>
    </row>
    <row r="157" spans="1:7" x14ac:dyDescent="0.25">
      <c r="A157" s="49"/>
      <c r="E157" s="54"/>
      <c r="F157" s="2"/>
      <c r="G157"/>
    </row>
    <row r="158" spans="1:7" x14ac:dyDescent="0.25">
      <c r="G158"/>
    </row>
    <row r="159" spans="1:7" x14ac:dyDescent="0.25">
      <c r="A159" s="49"/>
      <c r="E159" s="54"/>
      <c r="F159" s="2"/>
      <c r="G159"/>
    </row>
    <row r="160" spans="1:7" x14ac:dyDescent="0.25">
      <c r="A160" s="47"/>
      <c r="E160" s="54"/>
      <c r="G160"/>
    </row>
    <row r="161" spans="1:7" x14ac:dyDescent="0.25">
      <c r="A161" s="49"/>
      <c r="E161" s="54"/>
      <c r="F161" s="2"/>
      <c r="G161"/>
    </row>
    <row r="162" spans="1:7" x14ac:dyDescent="0.25">
      <c r="A162" s="47"/>
      <c r="E162" s="54"/>
      <c r="G162"/>
    </row>
    <row r="163" spans="1:7" x14ac:dyDescent="0.25">
      <c r="A163" s="47"/>
      <c r="E163" s="54"/>
      <c r="G163"/>
    </row>
    <row r="164" spans="1:7" x14ac:dyDescent="0.25">
      <c r="A164" s="47"/>
      <c r="E164" s="54"/>
      <c r="G164"/>
    </row>
    <row r="165" spans="1:7" x14ac:dyDescent="0.25">
      <c r="A165" s="47"/>
      <c r="E165" s="54"/>
      <c r="G165"/>
    </row>
    <row r="166" spans="1:7" x14ac:dyDescent="0.25">
      <c r="A166" s="47"/>
      <c r="E166" s="54"/>
      <c r="G166"/>
    </row>
    <row r="167" spans="1:7" x14ac:dyDescent="0.25">
      <c r="G167"/>
    </row>
    <row r="168" spans="1:7" x14ac:dyDescent="0.25">
      <c r="A168" s="49"/>
      <c r="E168" s="54"/>
      <c r="F168" s="2"/>
      <c r="G168"/>
    </row>
    <row r="169" spans="1:7" x14ac:dyDescent="0.25">
      <c r="A169" s="49"/>
      <c r="E169" s="54"/>
      <c r="F169" s="2"/>
      <c r="G169"/>
    </row>
    <row r="170" spans="1:7" x14ac:dyDescent="0.25">
      <c r="G170"/>
    </row>
    <row r="171" spans="1:7" x14ac:dyDescent="0.25">
      <c r="G171"/>
    </row>
    <row r="172" spans="1:7" x14ac:dyDescent="0.25">
      <c r="G172"/>
    </row>
    <row r="173" spans="1:7" x14ac:dyDescent="0.25">
      <c r="A173" s="49"/>
      <c r="E173" s="54"/>
      <c r="F173" s="2"/>
      <c r="G173"/>
    </row>
    <row r="174" spans="1:7" x14ac:dyDescent="0.25">
      <c r="A174" s="50"/>
      <c r="E174" s="54"/>
      <c r="F174" s="2"/>
      <c r="G174"/>
    </row>
    <row r="175" spans="1:7" x14ac:dyDescent="0.25">
      <c r="E175" s="54"/>
      <c r="F175"/>
      <c r="G175"/>
    </row>
    <row r="176" spans="1:7" x14ac:dyDescent="0.25">
      <c r="E176" s="54"/>
      <c r="F176"/>
      <c r="G176"/>
    </row>
    <row r="177" spans="1:7" x14ac:dyDescent="0.25">
      <c r="E177" s="54"/>
      <c r="F177"/>
      <c r="G177"/>
    </row>
    <row r="178" spans="1:7" x14ac:dyDescent="0.25">
      <c r="A178" s="48"/>
      <c r="E178" s="54"/>
      <c r="F178"/>
      <c r="G178"/>
    </row>
    <row r="179" spans="1:7" x14ac:dyDescent="0.25">
      <c r="A179" s="48"/>
      <c r="E179" s="54"/>
      <c r="F179"/>
      <c r="G179"/>
    </row>
    <row r="180" spans="1:7" x14ac:dyDescent="0.25">
      <c r="G180"/>
    </row>
    <row r="181" spans="1:7" x14ac:dyDescent="0.25">
      <c r="G181"/>
    </row>
    <row r="182" spans="1:7" x14ac:dyDescent="0.25">
      <c r="G182"/>
    </row>
    <row r="183" spans="1:7" x14ac:dyDescent="0.25">
      <c r="A183" s="48"/>
      <c r="E183" s="54"/>
      <c r="F183"/>
      <c r="G183"/>
    </row>
    <row r="184" spans="1:7" x14ac:dyDescent="0.25">
      <c r="A184" s="48"/>
      <c r="E184" s="54"/>
      <c r="F184"/>
      <c r="G184"/>
    </row>
    <row r="185" spans="1:7" x14ac:dyDescent="0.25">
      <c r="G185"/>
    </row>
    <row r="186" spans="1:7" x14ac:dyDescent="0.25">
      <c r="A186" s="48"/>
      <c r="E186" s="54"/>
      <c r="F186"/>
      <c r="G186"/>
    </row>
    <row r="187" spans="1:7" x14ac:dyDescent="0.25">
      <c r="A187" s="48"/>
      <c r="E187" s="54"/>
      <c r="F187"/>
      <c r="G187"/>
    </row>
    <row r="188" spans="1:7" x14ac:dyDescent="0.25">
      <c r="A188" s="48"/>
      <c r="E188" s="54"/>
      <c r="F188"/>
      <c r="G188"/>
    </row>
    <row r="189" spans="1:7" x14ac:dyDescent="0.25">
      <c r="A189" s="48"/>
      <c r="E189" s="54"/>
      <c r="F189"/>
      <c r="G189"/>
    </row>
    <row r="190" spans="1:7" x14ac:dyDescent="0.25">
      <c r="A190" s="48"/>
      <c r="E190" s="54"/>
      <c r="F190"/>
      <c r="G190"/>
    </row>
    <row r="191" spans="1:7" x14ac:dyDescent="0.25">
      <c r="A191" s="48"/>
      <c r="E191" s="54"/>
      <c r="F191"/>
      <c r="G191"/>
    </row>
    <row r="192" spans="1:7" x14ac:dyDescent="0.25">
      <c r="A192" s="48"/>
      <c r="E192" s="54"/>
      <c r="F192"/>
      <c r="G192"/>
    </row>
    <row r="193" spans="1:7" x14ac:dyDescent="0.25">
      <c r="A193" s="48"/>
      <c r="E193" s="54"/>
      <c r="F193"/>
      <c r="G193"/>
    </row>
    <row r="194" spans="1:7" x14ac:dyDescent="0.25">
      <c r="A194" s="48"/>
      <c r="E194" s="54"/>
      <c r="F194"/>
      <c r="G194"/>
    </row>
    <row r="195" spans="1:7" x14ac:dyDescent="0.25">
      <c r="A195" s="48"/>
      <c r="E195" s="54"/>
      <c r="F195"/>
      <c r="G195"/>
    </row>
    <row r="196" spans="1:7" x14ac:dyDescent="0.25">
      <c r="A196" s="48"/>
      <c r="E196" s="54"/>
      <c r="F196"/>
      <c r="G196"/>
    </row>
    <row r="197" spans="1:7" x14ac:dyDescent="0.25">
      <c r="G197"/>
    </row>
    <row r="198" spans="1:7" x14ac:dyDescent="0.25">
      <c r="A198" s="48"/>
      <c r="E198" s="54"/>
      <c r="F198"/>
      <c r="G198"/>
    </row>
    <row r="199" spans="1:7" x14ac:dyDescent="0.25">
      <c r="A199" s="48"/>
      <c r="E199" s="54"/>
      <c r="F199"/>
      <c r="G199"/>
    </row>
    <row r="200" spans="1:7" x14ac:dyDescent="0.25">
      <c r="G200"/>
    </row>
    <row r="201" spans="1:7" x14ac:dyDescent="0.25">
      <c r="A201" s="48"/>
      <c r="E201" s="54"/>
      <c r="F201"/>
      <c r="G201"/>
    </row>
    <row r="202" spans="1:7" x14ac:dyDescent="0.25">
      <c r="A202" s="48"/>
      <c r="E202" s="54"/>
      <c r="F202"/>
      <c r="G202"/>
    </row>
    <row r="203" spans="1:7" x14ac:dyDescent="0.25">
      <c r="A203" s="48"/>
      <c r="E203" s="54"/>
      <c r="F203"/>
      <c r="G203"/>
    </row>
    <row r="204" spans="1:7" x14ac:dyDescent="0.25">
      <c r="G204"/>
    </row>
    <row r="205" spans="1:7" x14ac:dyDescent="0.25">
      <c r="G205"/>
    </row>
    <row r="206" spans="1:7" x14ac:dyDescent="0.25">
      <c r="A206" s="48"/>
      <c r="E206" s="54"/>
      <c r="F206"/>
      <c r="G206"/>
    </row>
    <row r="207" spans="1:7" x14ac:dyDescent="0.25">
      <c r="A207" s="48"/>
      <c r="E207" s="54"/>
      <c r="F207"/>
      <c r="G207"/>
    </row>
    <row r="208" spans="1:7" x14ac:dyDescent="0.25">
      <c r="A208" s="48"/>
      <c r="E208" s="54"/>
      <c r="F208"/>
      <c r="G208"/>
    </row>
    <row r="209" spans="1:7" x14ac:dyDescent="0.25">
      <c r="A209" s="48"/>
      <c r="E209" s="54"/>
      <c r="F209"/>
      <c r="G209"/>
    </row>
    <row r="210" spans="1:7" x14ac:dyDescent="0.25">
      <c r="A210" s="48"/>
      <c r="E210" s="54"/>
      <c r="F210"/>
      <c r="G210"/>
    </row>
    <row r="211" spans="1:7" x14ac:dyDescent="0.25">
      <c r="G211"/>
    </row>
    <row r="212" spans="1:7" x14ac:dyDescent="0.25">
      <c r="G212"/>
    </row>
    <row r="213" spans="1:7" x14ac:dyDescent="0.25">
      <c r="A213" s="48"/>
      <c r="E213" s="54"/>
      <c r="F213"/>
      <c r="G213"/>
    </row>
    <row r="214" spans="1:7" x14ac:dyDescent="0.25">
      <c r="A214" s="48"/>
      <c r="E214" s="54"/>
      <c r="F214"/>
      <c r="G214"/>
    </row>
    <row r="215" spans="1:7" x14ac:dyDescent="0.25">
      <c r="A215" s="48"/>
      <c r="E215" s="54"/>
      <c r="F215"/>
      <c r="G215"/>
    </row>
    <row r="216" spans="1:7" x14ac:dyDescent="0.25">
      <c r="A216" s="48"/>
      <c r="E216" s="54"/>
      <c r="F216"/>
      <c r="G216"/>
    </row>
    <row r="217" spans="1:7" x14ac:dyDescent="0.25">
      <c r="A217" s="48"/>
      <c r="E217" s="54"/>
      <c r="F217"/>
      <c r="G217"/>
    </row>
    <row r="218" spans="1:7" x14ac:dyDescent="0.25">
      <c r="G218"/>
    </row>
    <row r="219" spans="1:7" x14ac:dyDescent="0.25">
      <c r="A219" s="48"/>
      <c r="E219" s="54"/>
      <c r="F219"/>
      <c r="G219"/>
    </row>
    <row r="220" spans="1:7" x14ac:dyDescent="0.25">
      <c r="A220" s="48"/>
      <c r="E220" s="54"/>
      <c r="F220"/>
      <c r="G220"/>
    </row>
    <row r="221" spans="1:7" x14ac:dyDescent="0.25">
      <c r="A221" s="48"/>
      <c r="E221" s="54"/>
      <c r="F221"/>
      <c r="G221"/>
    </row>
    <row r="222" spans="1:7" x14ac:dyDescent="0.25">
      <c r="A222" s="48"/>
      <c r="E222" s="54"/>
      <c r="F222"/>
      <c r="G222"/>
    </row>
    <row r="223" spans="1:7" x14ac:dyDescent="0.25">
      <c r="A223" s="40"/>
      <c r="G223"/>
    </row>
    <row r="224" spans="1:7" x14ac:dyDescent="0.25">
      <c r="A224" s="40"/>
      <c r="G224"/>
    </row>
    <row r="225" spans="1:7" x14ac:dyDescent="0.25">
      <c r="A225" s="40"/>
      <c r="E225" s="54"/>
      <c r="G225"/>
    </row>
    <row r="226" spans="1:7" x14ac:dyDescent="0.25">
      <c r="A226" s="40"/>
      <c r="E226" s="54"/>
      <c r="G226"/>
    </row>
    <row r="227" spans="1:7" x14ac:dyDescent="0.25">
      <c r="A227" s="40"/>
      <c r="G227"/>
    </row>
    <row r="228" spans="1:7" x14ac:dyDescent="0.25">
      <c r="G228"/>
    </row>
    <row r="229" spans="1:7" x14ac:dyDescent="0.25">
      <c r="G229"/>
    </row>
    <row r="230" spans="1:7" x14ac:dyDescent="0.25">
      <c r="E230" s="54"/>
      <c r="G230"/>
    </row>
    <row r="231" spans="1:7" x14ac:dyDescent="0.25">
      <c r="E231" s="54"/>
      <c r="G231"/>
    </row>
    <row r="232" spans="1:7" x14ac:dyDescent="0.25">
      <c r="G232"/>
    </row>
    <row r="233" spans="1:7" x14ac:dyDescent="0.25">
      <c r="G233"/>
    </row>
    <row r="234" spans="1:7" x14ac:dyDescent="0.25">
      <c r="G234"/>
    </row>
    <row r="235" spans="1:7" x14ac:dyDescent="0.25">
      <c r="G235"/>
    </row>
    <row r="236" spans="1:7" x14ac:dyDescent="0.25">
      <c r="E236" s="54"/>
      <c r="G236"/>
    </row>
    <row r="237" spans="1:7" x14ac:dyDescent="0.25">
      <c r="E237" s="54"/>
      <c r="G237"/>
    </row>
    <row r="238" spans="1:7" x14ac:dyDescent="0.25">
      <c r="E238" s="54"/>
      <c r="G238"/>
    </row>
    <row r="239" spans="1:7" x14ac:dyDescent="0.25">
      <c r="E239" s="54"/>
      <c r="G239"/>
    </row>
    <row r="240" spans="1:7" x14ac:dyDescent="0.25">
      <c r="G240"/>
    </row>
    <row r="241" spans="1:7" x14ac:dyDescent="0.25">
      <c r="G241"/>
    </row>
    <row r="242" spans="1:7" x14ac:dyDescent="0.25">
      <c r="G242"/>
    </row>
    <row r="243" spans="1:7" x14ac:dyDescent="0.25">
      <c r="E243" s="54"/>
      <c r="G243"/>
    </row>
    <row r="244" spans="1:7" x14ac:dyDescent="0.25">
      <c r="E244" s="54"/>
      <c r="G244"/>
    </row>
    <row r="245" spans="1:7" x14ac:dyDescent="0.25">
      <c r="G245"/>
    </row>
    <row r="246" spans="1:7" x14ac:dyDescent="0.25">
      <c r="G246"/>
    </row>
    <row r="247" spans="1:7" x14ac:dyDescent="0.25">
      <c r="G247"/>
    </row>
    <row r="248" spans="1:7" x14ac:dyDescent="0.25">
      <c r="G248"/>
    </row>
    <row r="249" spans="1:7" x14ac:dyDescent="0.25">
      <c r="A249" s="48"/>
      <c r="E249" s="54"/>
      <c r="F249"/>
      <c r="G249"/>
    </row>
    <row r="250" spans="1:7" x14ac:dyDescent="0.25">
      <c r="A250" s="48"/>
      <c r="E250" s="54"/>
      <c r="F250"/>
      <c r="G250"/>
    </row>
    <row r="251" spans="1:7" x14ac:dyDescent="0.25">
      <c r="A251" s="48"/>
      <c r="E251" s="54"/>
      <c r="F251"/>
      <c r="G251"/>
    </row>
    <row r="252" spans="1:7" x14ac:dyDescent="0.25">
      <c r="E252" s="54"/>
      <c r="G252"/>
    </row>
    <row r="253" spans="1:7" x14ac:dyDescent="0.25">
      <c r="E253" s="54"/>
      <c r="G253"/>
    </row>
    <row r="254" spans="1:7" x14ac:dyDescent="0.25">
      <c r="E254" s="54"/>
      <c r="G254"/>
    </row>
    <row r="255" spans="1:7" x14ac:dyDescent="0.25">
      <c r="E255" s="54"/>
      <c r="G255"/>
    </row>
    <row r="256" spans="1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5:7" x14ac:dyDescent="0.25">
      <c r="G369"/>
    </row>
    <row r="370" spans="5:7" x14ac:dyDescent="0.25">
      <c r="G370"/>
    </row>
    <row r="371" spans="5:7" x14ac:dyDescent="0.25">
      <c r="G371"/>
    </row>
    <row r="372" spans="5:7" x14ac:dyDescent="0.25">
      <c r="G372"/>
    </row>
    <row r="373" spans="5:7" x14ac:dyDescent="0.25">
      <c r="G373"/>
    </row>
    <row r="374" spans="5:7" x14ac:dyDescent="0.25">
      <c r="G374"/>
    </row>
    <row r="375" spans="5:7" x14ac:dyDescent="0.25">
      <c r="G375"/>
    </row>
    <row r="376" spans="5:7" x14ac:dyDescent="0.25">
      <c r="E376" s="54"/>
      <c r="G376"/>
    </row>
    <row r="377" spans="5:7" x14ac:dyDescent="0.25">
      <c r="E377" s="54"/>
      <c r="G377"/>
    </row>
    <row r="378" spans="5:7" x14ac:dyDescent="0.25">
      <c r="E378" s="54"/>
      <c r="G378"/>
    </row>
    <row r="379" spans="5:7" x14ac:dyDescent="0.25">
      <c r="E379" s="54"/>
      <c r="G379"/>
    </row>
    <row r="380" spans="5:7" x14ac:dyDescent="0.25">
      <c r="E380" s="54"/>
      <c r="G380"/>
    </row>
    <row r="381" spans="5:7" x14ac:dyDescent="0.25">
      <c r="E381" s="54"/>
      <c r="G381"/>
    </row>
    <row r="382" spans="5:7" x14ac:dyDescent="0.25">
      <c r="E382" s="54"/>
      <c r="G382"/>
    </row>
    <row r="383" spans="5:7" x14ac:dyDescent="0.25">
      <c r="E383" s="54"/>
      <c r="G383"/>
    </row>
    <row r="384" spans="5:7" x14ac:dyDescent="0.25">
      <c r="E384" s="54"/>
      <c r="G384"/>
    </row>
    <row r="385" spans="5:7" x14ac:dyDescent="0.25">
      <c r="E385" s="54"/>
      <c r="G385"/>
    </row>
    <row r="386" spans="5:7" x14ac:dyDescent="0.25">
      <c r="E386" s="54"/>
      <c r="G386"/>
    </row>
    <row r="387" spans="5:7" x14ac:dyDescent="0.25">
      <c r="E387" s="54"/>
      <c r="G387"/>
    </row>
    <row r="388" spans="5:7" x14ac:dyDescent="0.25">
      <c r="E388" s="54"/>
      <c r="G388"/>
    </row>
    <row r="389" spans="5:7" x14ac:dyDescent="0.25">
      <c r="E389" s="54"/>
      <c r="G389"/>
    </row>
    <row r="390" spans="5:7" x14ac:dyDescent="0.25">
      <c r="E390" s="54"/>
      <c r="G390"/>
    </row>
    <row r="391" spans="5:7" x14ac:dyDescent="0.25">
      <c r="E391" s="54"/>
      <c r="G391"/>
    </row>
    <row r="392" spans="5:7" x14ac:dyDescent="0.25">
      <c r="E392" s="54"/>
      <c r="G392"/>
    </row>
    <row r="393" spans="5:7" x14ac:dyDescent="0.25">
      <c r="E393" s="54"/>
      <c r="G393"/>
    </row>
    <row r="394" spans="5:7" x14ac:dyDescent="0.25">
      <c r="E394" s="54"/>
      <c r="G394"/>
    </row>
    <row r="395" spans="5:7" x14ac:dyDescent="0.25">
      <c r="E395" s="54"/>
      <c r="G395"/>
    </row>
    <row r="396" spans="5:7" x14ac:dyDescent="0.25">
      <c r="E396" s="54"/>
      <c r="G396"/>
    </row>
    <row r="397" spans="5:7" x14ac:dyDescent="0.25">
      <c r="E397" s="54"/>
      <c r="G397"/>
    </row>
    <row r="398" spans="5:7" x14ac:dyDescent="0.25">
      <c r="G398"/>
    </row>
    <row r="399" spans="5:7" x14ac:dyDescent="0.25">
      <c r="G399"/>
    </row>
    <row r="400" spans="5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1:7" x14ac:dyDescent="0.25">
      <c r="G433"/>
    </row>
    <row r="434" spans="1:7" x14ac:dyDescent="0.25">
      <c r="G434"/>
    </row>
    <row r="435" spans="1:7" x14ac:dyDescent="0.25">
      <c r="G435"/>
    </row>
    <row r="436" spans="1:7" x14ac:dyDescent="0.25">
      <c r="G436"/>
    </row>
    <row r="437" spans="1:7" x14ac:dyDescent="0.25">
      <c r="G437"/>
    </row>
    <row r="438" spans="1:7" x14ac:dyDescent="0.25">
      <c r="G438"/>
    </row>
    <row r="439" spans="1:7" x14ac:dyDescent="0.25">
      <c r="G439"/>
    </row>
    <row r="440" spans="1:7" x14ac:dyDescent="0.25">
      <c r="G440"/>
    </row>
    <row r="441" spans="1:7" x14ac:dyDescent="0.25">
      <c r="G441"/>
    </row>
    <row r="442" spans="1:7" x14ac:dyDescent="0.25">
      <c r="G442"/>
    </row>
    <row r="443" spans="1:7" x14ac:dyDescent="0.25">
      <c r="G443"/>
    </row>
    <row r="444" spans="1:7" x14ac:dyDescent="0.25">
      <c r="A444" s="39"/>
      <c r="G444"/>
    </row>
    <row r="445" spans="1:7" x14ac:dyDescent="0.25">
      <c r="A445" s="48"/>
      <c r="E445" s="54"/>
      <c r="F445"/>
      <c r="G445"/>
    </row>
    <row r="446" spans="1:7" x14ac:dyDescent="0.25">
      <c r="A446" s="48"/>
      <c r="E446" s="54"/>
      <c r="F446"/>
      <c r="G446"/>
    </row>
    <row r="447" spans="1:7" x14ac:dyDescent="0.25">
      <c r="A447" s="48"/>
      <c r="E447" s="54"/>
      <c r="F447"/>
      <c r="G447"/>
    </row>
    <row r="448" spans="1:7" x14ac:dyDescent="0.25">
      <c r="A448" s="48"/>
      <c r="E448" s="54"/>
      <c r="F448"/>
      <c r="G448"/>
    </row>
    <row r="449" spans="1:7" x14ac:dyDescent="0.25">
      <c r="G449"/>
    </row>
    <row r="450" spans="1:7" x14ac:dyDescent="0.25">
      <c r="A450" s="48"/>
      <c r="E450" s="54"/>
      <c r="F450"/>
      <c r="G450"/>
    </row>
    <row r="451" spans="1:7" x14ac:dyDescent="0.25">
      <c r="A451" s="48"/>
      <c r="E451" s="54"/>
      <c r="F451"/>
      <c r="G451"/>
    </row>
    <row r="452" spans="1:7" x14ac:dyDescent="0.25">
      <c r="G452"/>
    </row>
    <row r="453" spans="1:7" x14ac:dyDescent="0.25">
      <c r="A453" s="48"/>
      <c r="E453" s="54"/>
      <c r="F453"/>
      <c r="G453"/>
    </row>
    <row r="454" spans="1:7" x14ac:dyDescent="0.25">
      <c r="A454" s="48"/>
      <c r="E454" s="54"/>
      <c r="F454"/>
      <c r="G454"/>
    </row>
    <row r="455" spans="1:7" x14ac:dyDescent="0.25">
      <c r="G455"/>
    </row>
    <row r="456" spans="1:7" x14ac:dyDescent="0.25">
      <c r="A456" s="48"/>
      <c r="E456" s="54"/>
      <c r="F456"/>
      <c r="G456"/>
    </row>
    <row r="457" spans="1:7" x14ac:dyDescent="0.25">
      <c r="A457" s="48"/>
      <c r="E457" s="54"/>
      <c r="F457"/>
      <c r="G457"/>
    </row>
    <row r="458" spans="1:7" x14ac:dyDescent="0.25">
      <c r="G458"/>
    </row>
    <row r="459" spans="1:7" x14ac:dyDescent="0.25">
      <c r="A459" s="48"/>
      <c r="E459" s="54"/>
      <c r="F459"/>
      <c r="G459"/>
    </row>
    <row r="460" spans="1:7" x14ac:dyDescent="0.25">
      <c r="A460" s="48"/>
      <c r="E460" s="54"/>
      <c r="F460"/>
      <c r="G460"/>
    </row>
    <row r="461" spans="1:7" x14ac:dyDescent="0.25">
      <c r="G461"/>
    </row>
    <row r="462" spans="1:7" x14ac:dyDescent="0.25">
      <c r="A462" s="48"/>
      <c r="E462" s="54"/>
      <c r="F462"/>
      <c r="G462"/>
    </row>
    <row r="463" spans="1:7" x14ac:dyDescent="0.25">
      <c r="A463" s="48"/>
      <c r="E463" s="54"/>
      <c r="F463"/>
      <c r="G463"/>
    </row>
    <row r="464" spans="1:7" x14ac:dyDescent="0.25">
      <c r="G464"/>
    </row>
    <row r="465" spans="1:7" x14ac:dyDescent="0.25">
      <c r="A465" s="48"/>
      <c r="E465" s="54"/>
      <c r="F465"/>
      <c r="G465"/>
    </row>
    <row r="466" spans="1:7" x14ac:dyDescent="0.25">
      <c r="A466" s="48"/>
      <c r="E466" s="54"/>
      <c r="F466"/>
      <c r="G466"/>
    </row>
    <row r="467" spans="1:7" x14ac:dyDescent="0.25">
      <c r="A467" s="48"/>
      <c r="E467" s="54"/>
      <c r="F467"/>
      <c r="G467"/>
    </row>
    <row r="468" spans="1:7" x14ac:dyDescent="0.25">
      <c r="A468" s="48"/>
      <c r="E468" s="54"/>
      <c r="F468"/>
      <c r="G468"/>
    </row>
    <row r="469" spans="1:7" x14ac:dyDescent="0.25">
      <c r="G469"/>
    </row>
    <row r="470" spans="1:7" x14ac:dyDescent="0.25">
      <c r="A470" s="48"/>
      <c r="E470" s="54"/>
      <c r="F470"/>
      <c r="G470"/>
    </row>
    <row r="471" spans="1:7" x14ac:dyDescent="0.25">
      <c r="A471" s="48"/>
      <c r="E471" s="54"/>
      <c r="F471"/>
      <c r="G471"/>
    </row>
    <row r="472" spans="1:7" x14ac:dyDescent="0.25">
      <c r="G472"/>
    </row>
    <row r="473" spans="1:7" x14ac:dyDescent="0.25">
      <c r="A473" s="48"/>
      <c r="E473" s="54"/>
      <c r="F473"/>
      <c r="G473"/>
    </row>
    <row r="474" spans="1:7" x14ac:dyDescent="0.25">
      <c r="A474" s="48"/>
      <c r="E474" s="54"/>
      <c r="F474"/>
      <c r="G474"/>
    </row>
    <row r="475" spans="1:7" x14ac:dyDescent="0.25">
      <c r="G475"/>
    </row>
    <row r="476" spans="1:7" x14ac:dyDescent="0.25">
      <c r="A476" s="48"/>
      <c r="E476" s="54"/>
      <c r="F476"/>
      <c r="G476"/>
    </row>
    <row r="477" spans="1:7" x14ac:dyDescent="0.25">
      <c r="A477" s="48"/>
      <c r="E477" s="54"/>
      <c r="F477"/>
      <c r="G477"/>
    </row>
    <row r="478" spans="1:7" x14ac:dyDescent="0.25">
      <c r="G478"/>
    </row>
    <row r="479" spans="1:7" x14ac:dyDescent="0.25">
      <c r="A479" s="48"/>
      <c r="E479" s="54"/>
      <c r="F479"/>
      <c r="G479"/>
    </row>
    <row r="480" spans="1:7" x14ac:dyDescent="0.25">
      <c r="A480" s="48"/>
      <c r="E480" s="54"/>
      <c r="F480"/>
      <c r="G480"/>
    </row>
    <row r="481" spans="1:7" x14ac:dyDescent="0.25">
      <c r="G481"/>
    </row>
    <row r="482" spans="1:7" x14ac:dyDescent="0.25">
      <c r="A482" s="48"/>
      <c r="E482" s="54"/>
      <c r="F482"/>
      <c r="G482"/>
    </row>
    <row r="483" spans="1:7" x14ac:dyDescent="0.25">
      <c r="A483" s="48"/>
      <c r="E483" s="54"/>
      <c r="F483"/>
      <c r="G483"/>
    </row>
    <row r="484" spans="1:7" x14ac:dyDescent="0.25">
      <c r="G484"/>
    </row>
    <row r="485" spans="1:7" x14ac:dyDescent="0.25">
      <c r="A485" s="48"/>
      <c r="E485" s="54"/>
      <c r="F485"/>
      <c r="G485"/>
    </row>
    <row r="486" spans="1:7" x14ac:dyDescent="0.25">
      <c r="A486" s="48"/>
      <c r="E486" s="54"/>
      <c r="F486"/>
      <c r="G486"/>
    </row>
    <row r="487" spans="1:7" x14ac:dyDescent="0.25">
      <c r="G487"/>
    </row>
    <row r="488" spans="1:7" x14ac:dyDescent="0.25">
      <c r="A488" s="48"/>
      <c r="E488" s="54"/>
      <c r="F488"/>
      <c r="G488"/>
    </row>
    <row r="489" spans="1:7" x14ac:dyDescent="0.25">
      <c r="A489" s="48"/>
      <c r="E489" s="54"/>
      <c r="F489"/>
      <c r="G489"/>
    </row>
    <row r="490" spans="1:7" x14ac:dyDescent="0.25">
      <c r="G490"/>
    </row>
    <row r="491" spans="1:7" x14ac:dyDescent="0.25">
      <c r="A491" s="48"/>
      <c r="E491" s="54"/>
      <c r="F491"/>
      <c r="G491"/>
    </row>
    <row r="492" spans="1:7" x14ac:dyDescent="0.25">
      <c r="A492" s="48"/>
      <c r="E492" s="54"/>
      <c r="F492"/>
      <c r="G492"/>
    </row>
    <row r="493" spans="1:7" x14ac:dyDescent="0.25">
      <c r="G493"/>
    </row>
    <row r="494" spans="1:7" x14ac:dyDescent="0.25">
      <c r="A494" s="48"/>
      <c r="E494" s="54"/>
      <c r="F494"/>
      <c r="G494"/>
    </row>
    <row r="495" spans="1:7" x14ac:dyDescent="0.25">
      <c r="A495" s="48"/>
      <c r="E495" s="54"/>
      <c r="F495"/>
      <c r="G495"/>
    </row>
    <row r="496" spans="1:7" x14ac:dyDescent="0.25">
      <c r="G496"/>
    </row>
    <row r="497" spans="1:7" x14ac:dyDescent="0.25">
      <c r="A497" s="48"/>
      <c r="E497" s="54"/>
      <c r="F497"/>
      <c r="G497"/>
    </row>
    <row r="498" spans="1:7" x14ac:dyDescent="0.25">
      <c r="A498" s="48"/>
      <c r="E498" s="54"/>
      <c r="F498"/>
      <c r="G498"/>
    </row>
    <row r="499" spans="1:7" x14ac:dyDescent="0.25">
      <c r="G499"/>
    </row>
    <row r="500" spans="1:7" x14ac:dyDescent="0.25">
      <c r="A500" s="48"/>
      <c r="E500" s="54"/>
      <c r="F500"/>
      <c r="G500"/>
    </row>
    <row r="501" spans="1:7" x14ac:dyDescent="0.25">
      <c r="A501" s="48"/>
      <c r="E501" s="54"/>
      <c r="F501"/>
      <c r="G501"/>
    </row>
    <row r="502" spans="1:7" x14ac:dyDescent="0.25">
      <c r="G502"/>
    </row>
    <row r="503" spans="1:7" x14ac:dyDescent="0.25">
      <c r="A503" s="48"/>
      <c r="E503" s="54"/>
      <c r="F503"/>
      <c r="G503"/>
    </row>
    <row r="504" spans="1:7" x14ac:dyDescent="0.25">
      <c r="A504" s="48"/>
      <c r="E504" s="54"/>
      <c r="F504"/>
      <c r="G504"/>
    </row>
    <row r="505" spans="1:7" x14ac:dyDescent="0.25">
      <c r="G505"/>
    </row>
    <row r="506" spans="1:7" x14ac:dyDescent="0.25">
      <c r="A506" s="48"/>
      <c r="E506" s="54"/>
      <c r="F506"/>
      <c r="G506"/>
    </row>
    <row r="507" spans="1:7" x14ac:dyDescent="0.25">
      <c r="A507" s="48"/>
      <c r="E507" s="54"/>
      <c r="F507"/>
      <c r="G507"/>
    </row>
    <row r="508" spans="1:7" x14ac:dyDescent="0.25">
      <c r="G508"/>
    </row>
    <row r="509" spans="1:7" x14ac:dyDescent="0.25">
      <c r="A509" s="48"/>
      <c r="E509" s="54"/>
      <c r="F509"/>
      <c r="G509"/>
    </row>
    <row r="510" spans="1:7" x14ac:dyDescent="0.25">
      <c r="A510" s="48"/>
      <c r="E510" s="54"/>
      <c r="F510"/>
      <c r="G510"/>
    </row>
    <row r="511" spans="1:7" x14ac:dyDescent="0.25">
      <c r="G511"/>
    </row>
    <row r="512" spans="1:7" x14ac:dyDescent="0.25">
      <c r="A512" s="48"/>
      <c r="E512" s="54"/>
      <c r="F512"/>
      <c r="G512"/>
    </row>
    <row r="513" spans="1:7" x14ac:dyDescent="0.25">
      <c r="A513" s="48"/>
      <c r="E513" s="54"/>
      <c r="F513"/>
      <c r="G513"/>
    </row>
    <row r="514" spans="1:7" x14ac:dyDescent="0.25">
      <c r="G514"/>
    </row>
    <row r="515" spans="1:7" x14ac:dyDescent="0.25">
      <c r="A515" s="39"/>
      <c r="G515"/>
    </row>
    <row r="516" spans="1:7" x14ac:dyDescent="0.25">
      <c r="G516"/>
    </row>
    <row r="517" spans="1:7" x14ac:dyDescent="0.25">
      <c r="G517"/>
    </row>
    <row r="518" spans="1:7" x14ac:dyDescent="0.25">
      <c r="G518"/>
    </row>
    <row r="519" spans="1:7" x14ac:dyDescent="0.25">
      <c r="G519"/>
    </row>
    <row r="520" spans="1:7" x14ac:dyDescent="0.25">
      <c r="A520" s="39"/>
      <c r="G520"/>
    </row>
    <row r="521" spans="1:7" x14ac:dyDescent="0.25">
      <c r="G521"/>
    </row>
    <row r="522" spans="1:7" x14ac:dyDescent="0.25">
      <c r="G522"/>
    </row>
    <row r="523" spans="1:7" x14ac:dyDescent="0.25">
      <c r="G523"/>
    </row>
    <row r="524" spans="1:7" x14ac:dyDescent="0.25">
      <c r="G524"/>
    </row>
    <row r="525" spans="1:7" x14ac:dyDescent="0.25">
      <c r="G525"/>
    </row>
    <row r="526" spans="1:7" x14ac:dyDescent="0.25">
      <c r="G526"/>
    </row>
    <row r="527" spans="1:7" x14ac:dyDescent="0.25">
      <c r="G527"/>
    </row>
    <row r="528" spans="1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1:7" x14ac:dyDescent="0.25">
      <c r="G609"/>
    </row>
    <row r="610" spans="1:7" x14ac:dyDescent="0.25">
      <c r="G610"/>
    </row>
    <row r="611" spans="1:7" x14ac:dyDescent="0.25">
      <c r="G611"/>
    </row>
    <row r="612" spans="1:7" x14ac:dyDescent="0.25">
      <c r="G612"/>
    </row>
    <row r="613" spans="1:7" x14ac:dyDescent="0.25">
      <c r="G613"/>
    </row>
    <row r="614" spans="1:7" x14ac:dyDescent="0.25">
      <c r="G614"/>
    </row>
    <row r="615" spans="1:7" x14ac:dyDescent="0.25">
      <c r="G615"/>
    </row>
    <row r="616" spans="1:7" x14ac:dyDescent="0.25">
      <c r="G616"/>
    </row>
    <row r="617" spans="1:7" x14ac:dyDescent="0.25">
      <c r="G617"/>
    </row>
    <row r="618" spans="1:7" x14ac:dyDescent="0.25">
      <c r="G618"/>
    </row>
    <row r="619" spans="1:7" x14ac:dyDescent="0.25">
      <c r="G619"/>
    </row>
    <row r="620" spans="1:7" x14ac:dyDescent="0.25">
      <c r="G620"/>
    </row>
    <row r="621" spans="1:7" x14ac:dyDescent="0.25">
      <c r="G621"/>
    </row>
    <row r="622" spans="1:7" x14ac:dyDescent="0.25">
      <c r="G622"/>
    </row>
    <row r="623" spans="1:7" x14ac:dyDescent="0.25">
      <c r="G623"/>
    </row>
    <row r="624" spans="1:7" x14ac:dyDescent="0.25">
      <c r="A624" s="39"/>
      <c r="G624"/>
    </row>
    <row r="625" spans="1:7" x14ac:dyDescent="0.25">
      <c r="A625" s="39"/>
      <c r="G625"/>
    </row>
    <row r="626" spans="1:7" x14ac:dyDescent="0.25">
      <c r="A626" s="39"/>
      <c r="G626"/>
    </row>
    <row r="627" spans="1:7" x14ac:dyDescent="0.25">
      <c r="A627" s="39"/>
      <c r="G627"/>
    </row>
    <row r="628" spans="1:7" x14ac:dyDescent="0.25">
      <c r="A628" s="39"/>
      <c r="G628"/>
    </row>
    <row r="629" spans="1:7" x14ac:dyDescent="0.25">
      <c r="A629" s="39"/>
      <c r="G629"/>
    </row>
    <row r="630" spans="1:7" x14ac:dyDescent="0.25">
      <c r="A630" s="39"/>
      <c r="E630" s="54"/>
      <c r="G630"/>
    </row>
    <row r="631" spans="1:7" x14ac:dyDescent="0.25">
      <c r="A631" s="39"/>
      <c r="G631"/>
    </row>
    <row r="632" spans="1:7" x14ac:dyDescent="0.25">
      <c r="A632" s="39"/>
      <c r="E632" s="54"/>
      <c r="G632"/>
    </row>
    <row r="633" spans="1:7" x14ac:dyDescent="0.25">
      <c r="A633" s="39"/>
      <c r="F633" s="2"/>
      <c r="G633"/>
    </row>
    <row r="634" spans="1:7" x14ac:dyDescent="0.25">
      <c r="G634"/>
    </row>
    <row r="635" spans="1:7" x14ac:dyDescent="0.25">
      <c r="G635"/>
    </row>
    <row r="636" spans="1:7" x14ac:dyDescent="0.25">
      <c r="G636"/>
    </row>
    <row r="637" spans="1:7" x14ac:dyDescent="0.25">
      <c r="G637"/>
    </row>
    <row r="638" spans="1:7" x14ac:dyDescent="0.25">
      <c r="G638"/>
    </row>
    <row r="639" spans="1:7" x14ac:dyDescent="0.25">
      <c r="G639"/>
    </row>
    <row r="640" spans="1:7" x14ac:dyDescent="0.25">
      <c r="G640"/>
    </row>
    <row r="641" spans="1:7" x14ac:dyDescent="0.25">
      <c r="G641"/>
    </row>
    <row r="642" spans="1:7" x14ac:dyDescent="0.25">
      <c r="G642"/>
    </row>
    <row r="643" spans="1:7" x14ac:dyDescent="0.25">
      <c r="G643"/>
    </row>
    <row r="644" spans="1:7" x14ac:dyDescent="0.25">
      <c r="G644"/>
    </row>
    <row r="645" spans="1:7" x14ac:dyDescent="0.25">
      <c r="G645"/>
    </row>
    <row r="646" spans="1:7" x14ac:dyDescent="0.25">
      <c r="G646"/>
    </row>
    <row r="647" spans="1:7" x14ac:dyDescent="0.25">
      <c r="G647"/>
    </row>
    <row r="648" spans="1:7" x14ac:dyDescent="0.25">
      <c r="G648"/>
    </row>
    <row r="649" spans="1:7" x14ac:dyDescent="0.25">
      <c r="A649" s="39"/>
      <c r="G649"/>
    </row>
    <row r="650" spans="1:7" x14ac:dyDescent="0.25">
      <c r="A650" s="39"/>
      <c r="G650"/>
    </row>
    <row r="651" spans="1:7" x14ac:dyDescent="0.25">
      <c r="A651" s="39"/>
      <c r="G651"/>
    </row>
    <row r="652" spans="1:7" x14ac:dyDescent="0.25">
      <c r="A652" s="39"/>
      <c r="G652"/>
    </row>
    <row r="653" spans="1:7" x14ac:dyDescent="0.25">
      <c r="A653" s="39"/>
      <c r="G653"/>
    </row>
    <row r="654" spans="1:7" x14ac:dyDescent="0.25">
      <c r="A654" s="39"/>
      <c r="G654"/>
    </row>
    <row r="655" spans="1:7" x14ac:dyDescent="0.25">
      <c r="G655"/>
    </row>
    <row r="656" spans="1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1:7" x14ac:dyDescent="0.25">
      <c r="G673"/>
    </row>
    <row r="674" spans="1:7" x14ac:dyDescent="0.25">
      <c r="G674"/>
    </row>
    <row r="675" spans="1:7" x14ac:dyDescent="0.25">
      <c r="G675"/>
    </row>
    <row r="676" spans="1:7" x14ac:dyDescent="0.25">
      <c r="G676"/>
    </row>
    <row r="677" spans="1:7" x14ac:dyDescent="0.25">
      <c r="G677"/>
    </row>
    <row r="678" spans="1:7" x14ac:dyDescent="0.25">
      <c r="G678"/>
    </row>
    <row r="679" spans="1:7" x14ac:dyDescent="0.25">
      <c r="G679"/>
    </row>
    <row r="680" spans="1:7" x14ac:dyDescent="0.25">
      <c r="G680"/>
    </row>
    <row r="681" spans="1:7" x14ac:dyDescent="0.25">
      <c r="A681" s="48"/>
      <c r="E681" s="54"/>
      <c r="F681"/>
      <c r="G681"/>
    </row>
    <row r="682" spans="1:7" x14ac:dyDescent="0.25">
      <c r="A682" s="39"/>
      <c r="G682"/>
    </row>
    <row r="683" spans="1:7" x14ac:dyDescent="0.25">
      <c r="A683" s="39"/>
      <c r="G683"/>
    </row>
    <row r="684" spans="1:7" x14ac:dyDescent="0.25">
      <c r="A684" s="48"/>
      <c r="E684" s="54"/>
      <c r="F684"/>
      <c r="G684"/>
    </row>
    <row r="685" spans="1:7" x14ac:dyDescent="0.25">
      <c r="A685" s="48"/>
      <c r="E685" s="54"/>
      <c r="F685"/>
      <c r="G685"/>
    </row>
    <row r="686" spans="1:7" x14ac:dyDescent="0.25">
      <c r="A686" s="48"/>
      <c r="E686" s="54"/>
      <c r="F686"/>
      <c r="G686"/>
    </row>
    <row r="687" spans="1:7" x14ac:dyDescent="0.25">
      <c r="A687" s="48"/>
      <c r="E687" s="54"/>
      <c r="F687"/>
      <c r="G687"/>
    </row>
    <row r="688" spans="1:7" x14ac:dyDescent="0.25">
      <c r="A688" s="48"/>
      <c r="E688" s="54"/>
      <c r="F688"/>
      <c r="G688"/>
    </row>
    <row r="689" spans="1:7" x14ac:dyDescent="0.25">
      <c r="G689"/>
    </row>
    <row r="690" spans="1:7" x14ac:dyDescent="0.25">
      <c r="A690" s="48"/>
      <c r="E690" s="54"/>
      <c r="F690"/>
      <c r="G690"/>
    </row>
    <row r="691" spans="1:7" x14ac:dyDescent="0.25">
      <c r="A691" s="48"/>
      <c r="E691" s="54"/>
      <c r="F691"/>
      <c r="G691"/>
    </row>
    <row r="692" spans="1:7" x14ac:dyDescent="0.25">
      <c r="A692" s="48"/>
      <c r="E692" s="54"/>
      <c r="F692"/>
      <c r="G692"/>
    </row>
    <row r="693" spans="1:7" x14ac:dyDescent="0.25">
      <c r="A693" s="48"/>
      <c r="E693" s="54"/>
      <c r="F693"/>
      <c r="G693"/>
    </row>
    <row r="694" spans="1:7" x14ac:dyDescent="0.25">
      <c r="A694" s="48"/>
      <c r="E694" s="54"/>
      <c r="F694"/>
      <c r="G694"/>
    </row>
    <row r="695" spans="1:7" x14ac:dyDescent="0.25">
      <c r="A695" s="48"/>
      <c r="E695" s="54"/>
      <c r="F695"/>
      <c r="G695"/>
    </row>
    <row r="696" spans="1:7" x14ac:dyDescent="0.25">
      <c r="A696" s="48"/>
      <c r="E696" s="54"/>
      <c r="F696"/>
      <c r="G696"/>
    </row>
    <row r="697" spans="1:7" x14ac:dyDescent="0.25">
      <c r="A697" s="48"/>
      <c r="E697" s="54"/>
      <c r="F697"/>
      <c r="G697"/>
    </row>
    <row r="698" spans="1:7" x14ac:dyDescent="0.25">
      <c r="A698" s="48"/>
      <c r="E698" s="54"/>
      <c r="F698"/>
      <c r="G698"/>
    </row>
    <row r="699" spans="1:7" x14ac:dyDescent="0.25">
      <c r="A699" s="48"/>
      <c r="E699" s="54"/>
      <c r="F699"/>
      <c r="G699"/>
    </row>
    <row r="700" spans="1:7" x14ac:dyDescent="0.25">
      <c r="A700" s="48"/>
      <c r="E700" s="54"/>
      <c r="F700"/>
      <c r="G700"/>
    </row>
    <row r="701" spans="1:7" x14ac:dyDescent="0.25">
      <c r="A701" s="48"/>
      <c r="E701" s="54"/>
      <c r="F701"/>
      <c r="G701"/>
    </row>
    <row r="702" spans="1:7" x14ac:dyDescent="0.25">
      <c r="A702" s="48"/>
      <c r="E702" s="54"/>
      <c r="F702"/>
      <c r="G702"/>
    </row>
    <row r="703" spans="1:7" x14ac:dyDescent="0.25">
      <c r="A703" s="48"/>
      <c r="E703" s="54"/>
      <c r="F703"/>
      <c r="G703"/>
    </row>
    <row r="704" spans="1:7" x14ac:dyDescent="0.25">
      <c r="A704" s="48"/>
      <c r="E704" s="54"/>
      <c r="F704"/>
      <c r="G704"/>
    </row>
    <row r="705" spans="1:7" x14ac:dyDescent="0.25">
      <c r="A705" s="48"/>
      <c r="E705" s="54"/>
      <c r="F705"/>
      <c r="G705"/>
    </row>
    <row r="706" spans="1:7" x14ac:dyDescent="0.25">
      <c r="A706" s="48"/>
      <c r="E706" s="54"/>
      <c r="F706"/>
      <c r="G706"/>
    </row>
    <row r="707" spans="1:7" x14ac:dyDescent="0.25">
      <c r="A707" s="48"/>
      <c r="E707" s="54"/>
      <c r="F707"/>
      <c r="G707"/>
    </row>
    <row r="708" spans="1:7" x14ac:dyDescent="0.25">
      <c r="A708" s="48"/>
      <c r="E708" s="54"/>
      <c r="F708"/>
      <c r="G708"/>
    </row>
    <row r="709" spans="1:7" x14ac:dyDescent="0.25">
      <c r="A709" s="48"/>
      <c r="E709" s="54"/>
      <c r="F709"/>
      <c r="G709"/>
    </row>
    <row r="710" spans="1:7" x14ac:dyDescent="0.25">
      <c r="A710" s="48"/>
      <c r="E710" s="54"/>
      <c r="F710"/>
      <c r="G710"/>
    </row>
    <row r="711" spans="1:7" x14ac:dyDescent="0.25">
      <c r="A711" s="48"/>
      <c r="E711" s="54"/>
      <c r="F711"/>
      <c r="G711"/>
    </row>
    <row r="712" spans="1:7" x14ac:dyDescent="0.25">
      <c r="A712" s="48"/>
      <c r="E712" s="54"/>
      <c r="F712"/>
      <c r="G712"/>
    </row>
    <row r="713" spans="1:7" x14ac:dyDescent="0.25">
      <c r="G713"/>
    </row>
    <row r="714" spans="1:7" x14ac:dyDescent="0.25">
      <c r="G714"/>
    </row>
    <row r="715" spans="1:7" x14ac:dyDescent="0.25">
      <c r="G715"/>
    </row>
    <row r="716" spans="1:7" x14ac:dyDescent="0.25">
      <c r="A716" s="48"/>
      <c r="E716" s="54"/>
      <c r="F716"/>
      <c r="G716"/>
    </row>
    <row r="717" spans="1:7" x14ac:dyDescent="0.25">
      <c r="A717" s="48"/>
      <c r="E717" s="54"/>
      <c r="F717"/>
      <c r="G717"/>
    </row>
    <row r="718" spans="1:7" x14ac:dyDescent="0.25">
      <c r="A718" s="48"/>
      <c r="E718" s="54"/>
      <c r="F718"/>
      <c r="G718"/>
    </row>
    <row r="719" spans="1:7" x14ac:dyDescent="0.25">
      <c r="A719" s="48"/>
      <c r="E719" s="54"/>
      <c r="F719"/>
      <c r="G719"/>
    </row>
    <row r="720" spans="1:7" x14ac:dyDescent="0.25">
      <c r="A720" s="48"/>
      <c r="E720" s="54"/>
      <c r="F720"/>
      <c r="G720"/>
    </row>
    <row r="721" spans="1:7" x14ac:dyDescent="0.25">
      <c r="A721" s="48"/>
      <c r="E721" s="54"/>
      <c r="F721"/>
      <c r="G721"/>
    </row>
    <row r="722" spans="1:7" x14ac:dyDescent="0.25">
      <c r="A722" s="48"/>
      <c r="E722" s="54"/>
      <c r="F722"/>
      <c r="G722"/>
    </row>
    <row r="723" spans="1:7" x14ac:dyDescent="0.25">
      <c r="A723" s="48"/>
      <c r="E723" s="54"/>
      <c r="F723"/>
      <c r="G723"/>
    </row>
    <row r="724" spans="1:7" x14ac:dyDescent="0.25">
      <c r="G724"/>
    </row>
    <row r="725" spans="1:7" x14ac:dyDescent="0.25">
      <c r="A725" s="48"/>
      <c r="E725" s="54"/>
      <c r="F725"/>
      <c r="G725"/>
    </row>
    <row r="726" spans="1:7" x14ac:dyDescent="0.25">
      <c r="E726" s="54"/>
      <c r="G726"/>
    </row>
    <row r="727" spans="1:7" x14ac:dyDescent="0.25">
      <c r="E727" s="54"/>
      <c r="G727"/>
    </row>
    <row r="728" spans="1:7" x14ac:dyDescent="0.25">
      <c r="E728" s="54"/>
      <c r="G728"/>
    </row>
    <row r="729" spans="1:7" x14ac:dyDescent="0.25">
      <c r="E729" s="54"/>
      <c r="G729"/>
    </row>
    <row r="730" spans="1:7" x14ac:dyDescent="0.25">
      <c r="A730" s="48"/>
      <c r="E730" s="54"/>
      <c r="F730"/>
      <c r="G730"/>
    </row>
    <row r="731" spans="1:7" x14ac:dyDescent="0.25">
      <c r="A731" s="48"/>
      <c r="E731" s="54"/>
      <c r="F731"/>
      <c r="G731"/>
    </row>
    <row r="732" spans="1:7" x14ac:dyDescent="0.25">
      <c r="A732" s="48"/>
      <c r="E732" s="54"/>
      <c r="F732"/>
      <c r="G732"/>
    </row>
    <row r="733" spans="1:7" x14ac:dyDescent="0.25">
      <c r="G733"/>
    </row>
    <row r="734" spans="1:7" x14ac:dyDescent="0.25">
      <c r="A734" s="48"/>
      <c r="E734" s="54"/>
      <c r="F734"/>
      <c r="G734"/>
    </row>
    <row r="735" spans="1:7" x14ac:dyDescent="0.25">
      <c r="A735" s="48"/>
      <c r="E735" s="54"/>
      <c r="F735"/>
      <c r="G735"/>
    </row>
    <row r="736" spans="1:7" x14ac:dyDescent="0.25">
      <c r="A736" s="48"/>
      <c r="E736" s="54"/>
      <c r="F736"/>
      <c r="G736"/>
    </row>
    <row r="737" spans="1:7" x14ac:dyDescent="0.25">
      <c r="A737" s="48"/>
      <c r="E737" s="54"/>
      <c r="F737"/>
      <c r="G737"/>
    </row>
    <row r="738" spans="1:7" x14ac:dyDescent="0.25">
      <c r="A738" s="48"/>
      <c r="E738" s="54"/>
      <c r="F738"/>
      <c r="G738"/>
    </row>
    <row r="739" spans="1:7" x14ac:dyDescent="0.25">
      <c r="A739" s="48"/>
      <c r="E739" s="54"/>
      <c r="F739"/>
      <c r="G739"/>
    </row>
    <row r="740" spans="1:7" x14ac:dyDescent="0.25">
      <c r="A740" s="39"/>
      <c r="F740" s="2"/>
      <c r="G740"/>
    </row>
    <row r="741" spans="1:7" x14ac:dyDescent="0.25">
      <c r="A741" s="48"/>
      <c r="E741" s="54"/>
      <c r="F741"/>
      <c r="G741"/>
    </row>
    <row r="742" spans="1:7" x14ac:dyDescent="0.25">
      <c r="A742" s="48"/>
      <c r="E742" s="54"/>
      <c r="F742"/>
      <c r="G742"/>
    </row>
    <row r="743" spans="1:7" x14ac:dyDescent="0.25">
      <c r="A743" s="39"/>
      <c r="G743"/>
    </row>
    <row r="744" spans="1:7" x14ac:dyDescent="0.25">
      <c r="A744" s="40"/>
      <c r="E744" s="54"/>
      <c r="G744"/>
    </row>
    <row r="745" spans="1:7" x14ac:dyDescent="0.25">
      <c r="A745" s="40"/>
      <c r="E745" s="54"/>
      <c r="G745"/>
    </row>
    <row r="746" spans="1:7" x14ac:dyDescent="0.25">
      <c r="A746" s="40"/>
      <c r="F746" s="2"/>
      <c r="G746" s="34"/>
    </row>
    <row r="747" spans="1:7" x14ac:dyDescent="0.25">
      <c r="A747" s="40"/>
      <c r="F747" s="2"/>
      <c r="G747" s="34"/>
    </row>
    <row r="748" spans="1:7" x14ac:dyDescent="0.25">
      <c r="A748" s="40"/>
      <c r="F748" s="2"/>
      <c r="G748" s="34"/>
    </row>
    <row r="749" spans="1:7" x14ac:dyDescent="0.25">
      <c r="A749" s="40"/>
      <c r="F749" s="2"/>
      <c r="G749"/>
    </row>
    <row r="750" spans="1:7" x14ac:dyDescent="0.25">
      <c r="A750" s="40"/>
      <c r="F750" s="2"/>
      <c r="G750"/>
    </row>
    <row r="751" spans="1:7" x14ac:dyDescent="0.25">
      <c r="A751" s="48"/>
      <c r="E751" s="54"/>
      <c r="F751"/>
      <c r="G751"/>
    </row>
    <row r="752" spans="1:7" x14ac:dyDescent="0.25">
      <c r="A752" s="48"/>
      <c r="E752" s="54"/>
      <c r="F752"/>
      <c r="G752"/>
    </row>
    <row r="753" spans="1:7" x14ac:dyDescent="0.25">
      <c r="A753" s="48"/>
      <c r="E753" s="54"/>
      <c r="F753"/>
      <c r="G753"/>
    </row>
    <row r="754" spans="1:7" x14ac:dyDescent="0.25">
      <c r="A754" s="40"/>
      <c r="E754" s="54"/>
      <c r="F754" s="2"/>
      <c r="G754"/>
    </row>
    <row r="755" spans="1:7" x14ac:dyDescent="0.25">
      <c r="A755" s="40"/>
      <c r="E755" s="54"/>
      <c r="F755" s="2"/>
      <c r="G755"/>
    </row>
    <row r="756" spans="1:7" x14ac:dyDescent="0.25">
      <c r="A756" s="40"/>
      <c r="F756" s="2"/>
      <c r="G756"/>
    </row>
    <row r="757" spans="1:7" x14ac:dyDescent="0.25">
      <c r="A757" s="40"/>
      <c r="E757" s="54"/>
      <c r="F757" s="2"/>
      <c r="G757"/>
    </row>
    <row r="758" spans="1:7" x14ac:dyDescent="0.25">
      <c r="A758" s="40"/>
      <c r="E758" s="54"/>
      <c r="F758" s="2"/>
      <c r="G758"/>
    </row>
    <row r="759" spans="1:7" x14ac:dyDescent="0.25">
      <c r="A759" s="40"/>
      <c r="F759" s="2"/>
      <c r="G759"/>
    </row>
    <row r="760" spans="1:7" x14ac:dyDescent="0.25">
      <c r="A760" s="40"/>
      <c r="F760" s="2"/>
      <c r="G760"/>
    </row>
    <row r="761" spans="1:7" x14ac:dyDescent="0.25">
      <c r="A761" s="40"/>
      <c r="F761" s="2"/>
      <c r="G761"/>
    </row>
    <row r="762" spans="1:7" x14ac:dyDescent="0.25">
      <c r="A762" s="40"/>
      <c r="F762" s="2"/>
      <c r="G762"/>
    </row>
    <row r="763" spans="1:7" x14ac:dyDescent="0.25">
      <c r="A763" s="40"/>
      <c r="F763" s="2"/>
      <c r="G763"/>
    </row>
    <row r="764" spans="1:7" x14ac:dyDescent="0.25">
      <c r="A764" s="39"/>
      <c r="F764" s="2"/>
      <c r="G764"/>
    </row>
    <row r="765" spans="1:7" x14ac:dyDescent="0.25">
      <c r="A765" s="48"/>
      <c r="E765" s="54"/>
      <c r="F765"/>
      <c r="G765"/>
    </row>
    <row r="766" spans="1:7" x14ac:dyDescent="0.25">
      <c r="A766" s="48"/>
      <c r="E766" s="54"/>
      <c r="F766"/>
      <c r="G766"/>
    </row>
    <row r="767" spans="1:7" x14ac:dyDescent="0.25">
      <c r="A767" s="48"/>
      <c r="E767" s="54"/>
      <c r="F767"/>
      <c r="G767"/>
    </row>
    <row r="768" spans="1:7" x14ac:dyDescent="0.25">
      <c r="A768" s="39"/>
      <c r="F768" s="2"/>
      <c r="G768"/>
    </row>
    <row r="769" spans="1:7" x14ac:dyDescent="0.25">
      <c r="A769" s="39"/>
      <c r="F769" s="2"/>
      <c r="G769"/>
    </row>
    <row r="770" spans="1:7" x14ac:dyDescent="0.25">
      <c r="A770" s="39"/>
      <c r="E770" s="54"/>
      <c r="G770"/>
    </row>
    <row r="771" spans="1:7" x14ac:dyDescent="0.25">
      <c r="A771" s="48"/>
      <c r="E771" s="54"/>
      <c r="F771"/>
      <c r="G771"/>
    </row>
    <row r="772" spans="1:7" x14ac:dyDescent="0.25">
      <c r="A772" s="48"/>
      <c r="E772" s="54"/>
      <c r="F772"/>
      <c r="G772"/>
    </row>
    <row r="773" spans="1:7" x14ac:dyDescent="0.25">
      <c r="A773" s="48"/>
      <c r="E773" s="54"/>
      <c r="F773"/>
      <c r="G773"/>
    </row>
    <row r="774" spans="1:7" x14ac:dyDescent="0.25">
      <c r="A774" s="48"/>
      <c r="E774" s="54"/>
      <c r="F774"/>
      <c r="G774"/>
    </row>
    <row r="775" spans="1:7" x14ac:dyDescent="0.25">
      <c r="A775" s="48"/>
      <c r="E775" s="54"/>
      <c r="F775"/>
      <c r="G775"/>
    </row>
    <row r="776" spans="1:7" x14ac:dyDescent="0.25">
      <c r="A776" s="48"/>
      <c r="E776" s="54"/>
      <c r="F776"/>
      <c r="G776"/>
    </row>
    <row r="777" spans="1:7" x14ac:dyDescent="0.25">
      <c r="A777" s="48"/>
      <c r="E777" s="54"/>
      <c r="F777"/>
      <c r="G777"/>
    </row>
    <row r="778" spans="1:7" x14ac:dyDescent="0.25">
      <c r="A778" s="48"/>
      <c r="E778" s="54"/>
      <c r="F778"/>
      <c r="G778"/>
    </row>
    <row r="779" spans="1:7" x14ac:dyDescent="0.25">
      <c r="A779" s="48"/>
      <c r="E779" s="54"/>
      <c r="F779"/>
      <c r="G779"/>
    </row>
    <row r="780" spans="1:7" x14ac:dyDescent="0.25">
      <c r="A780" s="48"/>
      <c r="E780" s="54"/>
      <c r="F780"/>
      <c r="G780"/>
    </row>
    <row r="781" spans="1:7" x14ac:dyDescent="0.25">
      <c r="A781" s="48"/>
      <c r="E781" s="54"/>
      <c r="F781"/>
      <c r="G781"/>
    </row>
    <row r="782" spans="1:7" x14ac:dyDescent="0.25">
      <c r="A782" s="48"/>
      <c r="E782" s="54"/>
      <c r="F782"/>
      <c r="G782"/>
    </row>
    <row r="783" spans="1:7" x14ac:dyDescent="0.25">
      <c r="A783" s="48"/>
      <c r="E783" s="54"/>
      <c r="F783"/>
      <c r="G783"/>
    </row>
    <row r="784" spans="1:7" x14ac:dyDescent="0.25">
      <c r="A784" s="48"/>
      <c r="E784" s="54"/>
      <c r="F784"/>
      <c r="G784"/>
    </row>
    <row r="785" spans="1:7" x14ac:dyDescent="0.25">
      <c r="A785" s="48"/>
      <c r="E785" s="54"/>
      <c r="F785"/>
      <c r="G785"/>
    </row>
    <row r="786" spans="1:7" x14ac:dyDescent="0.25">
      <c r="A786" s="48"/>
      <c r="E786" s="54"/>
      <c r="F786"/>
      <c r="G786"/>
    </row>
    <row r="787" spans="1:7" x14ac:dyDescent="0.25">
      <c r="A787" s="48"/>
      <c r="E787" s="54"/>
      <c r="F787"/>
      <c r="G787"/>
    </row>
    <row r="788" spans="1:7" x14ac:dyDescent="0.25">
      <c r="A788" s="48"/>
      <c r="E788" s="54"/>
      <c r="F788"/>
      <c r="G788"/>
    </row>
    <row r="789" spans="1:7" x14ac:dyDescent="0.25">
      <c r="A789" s="48"/>
      <c r="E789" s="54"/>
      <c r="F789"/>
      <c r="G789"/>
    </row>
    <row r="790" spans="1:7" x14ac:dyDescent="0.25">
      <c r="A790" s="48"/>
      <c r="E790" s="54"/>
      <c r="F790"/>
      <c r="G790"/>
    </row>
    <row r="791" spans="1:7" x14ac:dyDescent="0.25">
      <c r="A791" s="48"/>
      <c r="E791" s="54"/>
      <c r="F791"/>
      <c r="G791"/>
    </row>
    <row r="792" spans="1:7" x14ac:dyDescent="0.25">
      <c r="A792" s="48"/>
      <c r="E792" s="54"/>
      <c r="F792"/>
      <c r="G792"/>
    </row>
    <row r="793" spans="1:7" x14ac:dyDescent="0.25">
      <c r="A793" s="48"/>
      <c r="E793" s="54"/>
      <c r="F793"/>
      <c r="G793"/>
    </row>
    <row r="794" spans="1:7" x14ac:dyDescent="0.25">
      <c r="G794"/>
    </row>
    <row r="795" spans="1:7" x14ac:dyDescent="0.25">
      <c r="G795"/>
    </row>
    <row r="796" spans="1:7" x14ac:dyDescent="0.25">
      <c r="G796"/>
    </row>
    <row r="797" spans="1:7" x14ac:dyDescent="0.25">
      <c r="G797"/>
    </row>
    <row r="798" spans="1:7" x14ac:dyDescent="0.25">
      <c r="G798"/>
    </row>
    <row r="799" spans="1:7" x14ac:dyDescent="0.25">
      <c r="G799"/>
    </row>
    <row r="800" spans="1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5:12" x14ac:dyDescent="0.25">
      <c r="G849"/>
    </row>
    <row r="850" spans="5:12" x14ac:dyDescent="0.25">
      <c r="E850" s="54"/>
      <c r="G850"/>
    </row>
    <row r="851" spans="5:12" x14ac:dyDescent="0.25">
      <c r="G851"/>
    </row>
    <row r="852" spans="5:12" x14ac:dyDescent="0.25">
      <c r="G852"/>
    </row>
    <row r="853" spans="5:12" x14ac:dyDescent="0.25">
      <c r="G853"/>
    </row>
    <row r="854" spans="5:12" x14ac:dyDescent="0.25">
      <c r="G854"/>
    </row>
    <row r="855" spans="5:12" x14ac:dyDescent="0.25">
      <c r="G855"/>
    </row>
    <row r="856" spans="5:12" x14ac:dyDescent="0.25">
      <c r="G856"/>
    </row>
    <row r="857" spans="5:12" x14ac:dyDescent="0.25">
      <c r="G857"/>
    </row>
    <row r="858" spans="5:12" x14ac:dyDescent="0.25">
      <c r="G858"/>
    </row>
    <row r="859" spans="5:12" x14ac:dyDescent="0.25">
      <c r="G859"/>
      <c r="L859" s="3"/>
    </row>
    <row r="860" spans="5:12" x14ac:dyDescent="0.25">
      <c r="G860"/>
    </row>
    <row r="861" spans="5:12" x14ac:dyDescent="0.25">
      <c r="G861"/>
    </row>
    <row r="862" spans="5:12" x14ac:dyDescent="0.25">
      <c r="G862"/>
    </row>
    <row r="863" spans="5:12" x14ac:dyDescent="0.25">
      <c r="G863"/>
    </row>
    <row r="864" spans="5:12" x14ac:dyDescent="0.25">
      <c r="G864"/>
    </row>
    <row r="865" spans="5:12" x14ac:dyDescent="0.25">
      <c r="G865"/>
      <c r="L865" s="3"/>
    </row>
    <row r="866" spans="5:12" x14ac:dyDescent="0.25">
      <c r="G866"/>
    </row>
    <row r="867" spans="5:12" x14ac:dyDescent="0.25">
      <c r="G867"/>
    </row>
    <row r="868" spans="5:12" x14ac:dyDescent="0.25">
      <c r="G868"/>
    </row>
    <row r="869" spans="5:12" x14ac:dyDescent="0.25">
      <c r="G869"/>
    </row>
    <row r="870" spans="5:12" x14ac:dyDescent="0.25">
      <c r="G870"/>
    </row>
    <row r="871" spans="5:12" x14ac:dyDescent="0.25">
      <c r="G871"/>
    </row>
    <row r="872" spans="5:12" x14ac:dyDescent="0.25">
      <c r="G872"/>
    </row>
    <row r="873" spans="5:12" x14ac:dyDescent="0.25">
      <c r="G873"/>
    </row>
    <row r="874" spans="5:12" x14ac:dyDescent="0.25">
      <c r="G874"/>
    </row>
    <row r="875" spans="5:12" x14ac:dyDescent="0.25">
      <c r="G875"/>
    </row>
    <row r="876" spans="5:12" x14ac:dyDescent="0.25">
      <c r="E876" s="54"/>
      <c r="G876"/>
    </row>
    <row r="877" spans="5:12" x14ac:dyDescent="0.25">
      <c r="G877"/>
    </row>
    <row r="878" spans="5:12" x14ac:dyDescent="0.25">
      <c r="G878"/>
    </row>
    <row r="879" spans="5:12" x14ac:dyDescent="0.25">
      <c r="G879"/>
    </row>
    <row r="880" spans="5:12" x14ac:dyDescent="0.25">
      <c r="G880"/>
    </row>
    <row r="881" spans="5:7" x14ac:dyDescent="0.25">
      <c r="G881"/>
    </row>
    <row r="882" spans="5:7" x14ac:dyDescent="0.25">
      <c r="G882"/>
    </row>
    <row r="883" spans="5:7" x14ac:dyDescent="0.25">
      <c r="G883"/>
    </row>
    <row r="884" spans="5:7" x14ac:dyDescent="0.25">
      <c r="G884"/>
    </row>
    <row r="885" spans="5:7" x14ac:dyDescent="0.25">
      <c r="G885"/>
    </row>
    <row r="886" spans="5:7" x14ac:dyDescent="0.25">
      <c r="G886"/>
    </row>
    <row r="887" spans="5:7" x14ac:dyDescent="0.25">
      <c r="G887"/>
    </row>
    <row r="888" spans="5:7" x14ac:dyDescent="0.25">
      <c r="G888"/>
    </row>
    <row r="889" spans="5:7" x14ac:dyDescent="0.25">
      <c r="G889"/>
    </row>
    <row r="890" spans="5:7" x14ac:dyDescent="0.25">
      <c r="G890"/>
    </row>
    <row r="891" spans="5:7" x14ac:dyDescent="0.25">
      <c r="G891"/>
    </row>
    <row r="892" spans="5:7" x14ac:dyDescent="0.25">
      <c r="G892"/>
    </row>
    <row r="893" spans="5:7" x14ac:dyDescent="0.25">
      <c r="G893"/>
    </row>
    <row r="894" spans="5:7" x14ac:dyDescent="0.25">
      <c r="E894" s="54"/>
      <c r="G894"/>
    </row>
    <row r="895" spans="5:7" x14ac:dyDescent="0.25">
      <c r="G895"/>
    </row>
    <row r="896" spans="5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5:7" x14ac:dyDescent="0.25">
      <c r="G929"/>
    </row>
    <row r="930" spans="5:7" x14ac:dyDescent="0.25">
      <c r="G930"/>
    </row>
    <row r="931" spans="5:7" x14ac:dyDescent="0.25">
      <c r="G931"/>
    </row>
    <row r="932" spans="5:7" x14ac:dyDescent="0.25">
      <c r="G932"/>
    </row>
    <row r="933" spans="5:7" x14ac:dyDescent="0.25">
      <c r="E933" s="54"/>
      <c r="G933"/>
    </row>
    <row r="934" spans="5:7" x14ac:dyDescent="0.25">
      <c r="G934"/>
    </row>
    <row r="935" spans="5:7" x14ac:dyDescent="0.25">
      <c r="G935"/>
    </row>
    <row r="936" spans="5:7" x14ac:dyDescent="0.25">
      <c r="G936"/>
    </row>
    <row r="937" spans="5:7" x14ac:dyDescent="0.25">
      <c r="G937"/>
    </row>
    <row r="938" spans="5:7" x14ac:dyDescent="0.25">
      <c r="G938"/>
    </row>
    <row r="939" spans="5:7" x14ac:dyDescent="0.25">
      <c r="G939"/>
    </row>
    <row r="940" spans="5:7" x14ac:dyDescent="0.25">
      <c r="G940"/>
    </row>
    <row r="941" spans="5:7" x14ac:dyDescent="0.25">
      <c r="G941"/>
    </row>
    <row r="942" spans="5:7" x14ac:dyDescent="0.25">
      <c r="G942"/>
    </row>
    <row r="943" spans="5:7" x14ac:dyDescent="0.25">
      <c r="G943"/>
    </row>
    <row r="944" spans="5:7" x14ac:dyDescent="0.25">
      <c r="G944"/>
    </row>
    <row r="945" spans="5:7" x14ac:dyDescent="0.25">
      <c r="G945"/>
    </row>
    <row r="946" spans="5:7" x14ac:dyDescent="0.25">
      <c r="G946"/>
    </row>
    <row r="947" spans="5:7" x14ac:dyDescent="0.25">
      <c r="E947" s="54"/>
      <c r="G947"/>
    </row>
    <row r="948" spans="5:7" x14ac:dyDescent="0.25">
      <c r="G948"/>
    </row>
    <row r="949" spans="5:7" x14ac:dyDescent="0.25">
      <c r="G949"/>
    </row>
    <row r="950" spans="5:7" x14ac:dyDescent="0.25">
      <c r="G950"/>
    </row>
    <row r="951" spans="5:7" x14ac:dyDescent="0.25">
      <c r="G951"/>
    </row>
    <row r="952" spans="5:7" x14ac:dyDescent="0.25">
      <c r="G952"/>
    </row>
    <row r="953" spans="5:7" x14ac:dyDescent="0.25">
      <c r="G953"/>
    </row>
    <row r="954" spans="5:7" x14ac:dyDescent="0.25">
      <c r="G954"/>
    </row>
    <row r="955" spans="5:7" x14ac:dyDescent="0.25">
      <c r="G955"/>
    </row>
    <row r="956" spans="5:7" x14ac:dyDescent="0.25">
      <c r="G956"/>
    </row>
    <row r="957" spans="5:7" x14ac:dyDescent="0.25">
      <c r="G957"/>
    </row>
    <row r="958" spans="5:7" x14ac:dyDescent="0.25">
      <c r="G958"/>
    </row>
    <row r="959" spans="5:7" x14ac:dyDescent="0.25">
      <c r="G959"/>
    </row>
    <row r="960" spans="5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5:7" x14ac:dyDescent="0.25">
      <c r="E1009" s="54"/>
      <c r="G1009"/>
    </row>
    <row r="1010" spans="5:7" x14ac:dyDescent="0.25">
      <c r="G1010"/>
    </row>
    <row r="1011" spans="5:7" x14ac:dyDescent="0.25">
      <c r="G1011"/>
    </row>
    <row r="1012" spans="5:7" x14ac:dyDescent="0.25">
      <c r="G1012"/>
    </row>
    <row r="1013" spans="5:7" x14ac:dyDescent="0.25">
      <c r="G1013"/>
    </row>
    <row r="1014" spans="5:7" x14ac:dyDescent="0.25">
      <c r="G1014"/>
    </row>
    <row r="1015" spans="5:7" x14ac:dyDescent="0.25">
      <c r="G1015"/>
    </row>
    <row r="1016" spans="5:7" x14ac:dyDescent="0.25">
      <c r="G1016"/>
    </row>
    <row r="1017" spans="5:7" x14ac:dyDescent="0.25">
      <c r="G1017"/>
    </row>
    <row r="1018" spans="5:7" x14ac:dyDescent="0.25">
      <c r="G1018"/>
    </row>
    <row r="1019" spans="5:7" x14ac:dyDescent="0.25">
      <c r="G1019"/>
    </row>
    <row r="1020" spans="5:7" x14ac:dyDescent="0.25">
      <c r="G1020"/>
    </row>
    <row r="1021" spans="5:7" x14ac:dyDescent="0.25">
      <c r="G1021"/>
    </row>
    <row r="1022" spans="5:7" x14ac:dyDescent="0.25">
      <c r="G1022"/>
    </row>
    <row r="1023" spans="5:7" x14ac:dyDescent="0.25">
      <c r="G1023"/>
    </row>
    <row r="1024" spans="5:7" x14ac:dyDescent="0.25">
      <c r="G1024"/>
    </row>
    <row r="1025" spans="5:7" x14ac:dyDescent="0.25">
      <c r="G1025"/>
    </row>
    <row r="1026" spans="5:7" x14ac:dyDescent="0.25">
      <c r="E1026" s="54"/>
      <c r="G1026"/>
    </row>
    <row r="1027" spans="5:7" x14ac:dyDescent="0.25">
      <c r="G1027"/>
    </row>
    <row r="1028" spans="5:7" x14ac:dyDescent="0.25">
      <c r="G1028"/>
    </row>
    <row r="1029" spans="5:7" x14ac:dyDescent="0.25">
      <c r="G1029"/>
    </row>
    <row r="1030" spans="5:7" x14ac:dyDescent="0.25">
      <c r="G1030"/>
    </row>
    <row r="1031" spans="5:7" x14ac:dyDescent="0.25">
      <c r="G1031"/>
    </row>
    <row r="1032" spans="5:7" x14ac:dyDescent="0.25">
      <c r="G1032"/>
    </row>
    <row r="1033" spans="5:7" x14ac:dyDescent="0.25">
      <c r="G1033"/>
    </row>
    <row r="1034" spans="5:7" x14ac:dyDescent="0.25">
      <c r="G1034"/>
    </row>
    <row r="1035" spans="5:7" x14ac:dyDescent="0.25">
      <c r="G1035"/>
    </row>
    <row r="1036" spans="5:7" x14ac:dyDescent="0.25">
      <c r="G1036"/>
    </row>
    <row r="1037" spans="5:7" x14ac:dyDescent="0.25">
      <c r="G1037"/>
    </row>
    <row r="1038" spans="5:7" x14ac:dyDescent="0.25">
      <c r="G1038"/>
    </row>
    <row r="1039" spans="5:7" x14ac:dyDescent="0.25">
      <c r="G1039"/>
    </row>
    <row r="1040" spans="5:7" x14ac:dyDescent="0.25">
      <c r="G1040"/>
    </row>
    <row r="1041" spans="5:7" x14ac:dyDescent="0.25">
      <c r="G1041"/>
    </row>
    <row r="1042" spans="5:7" x14ac:dyDescent="0.25">
      <c r="G1042"/>
    </row>
    <row r="1043" spans="5:7" x14ac:dyDescent="0.25">
      <c r="G1043"/>
    </row>
    <row r="1044" spans="5:7" x14ac:dyDescent="0.25">
      <c r="G1044"/>
    </row>
    <row r="1045" spans="5:7" x14ac:dyDescent="0.25">
      <c r="G1045"/>
    </row>
    <row r="1046" spans="5:7" x14ac:dyDescent="0.25">
      <c r="G1046"/>
    </row>
    <row r="1047" spans="5:7" x14ac:dyDescent="0.25">
      <c r="G1047"/>
    </row>
    <row r="1048" spans="5:7" x14ac:dyDescent="0.25">
      <c r="G1048"/>
    </row>
    <row r="1049" spans="5:7" x14ac:dyDescent="0.25">
      <c r="G1049"/>
    </row>
    <row r="1050" spans="5:7" x14ac:dyDescent="0.25">
      <c r="G1050"/>
    </row>
    <row r="1051" spans="5:7" x14ac:dyDescent="0.25">
      <c r="G1051"/>
    </row>
    <row r="1052" spans="5:7" x14ac:dyDescent="0.25">
      <c r="G1052"/>
    </row>
    <row r="1053" spans="5:7" x14ac:dyDescent="0.25">
      <c r="G1053"/>
    </row>
    <row r="1054" spans="5:7" x14ac:dyDescent="0.25">
      <c r="G1054"/>
    </row>
    <row r="1055" spans="5:7" x14ac:dyDescent="0.25">
      <c r="E1055" s="54"/>
      <c r="G1055"/>
    </row>
    <row r="1056" spans="5:7" x14ac:dyDescent="0.25">
      <c r="G1056"/>
    </row>
    <row r="1057" spans="7:7" x14ac:dyDescent="0.25">
      <c r="G1057"/>
    </row>
    <row r="1058" spans="7:7" x14ac:dyDescent="0.25">
      <c r="G1058"/>
    </row>
    <row r="1059" spans="7:7" x14ac:dyDescent="0.25">
      <c r="G1059"/>
    </row>
    <row r="1060" spans="7:7" x14ac:dyDescent="0.25">
      <c r="G1060"/>
    </row>
    <row r="1061" spans="7:7" x14ac:dyDescent="0.25">
      <c r="G1061"/>
    </row>
    <row r="1062" spans="7:7" x14ac:dyDescent="0.25">
      <c r="G1062"/>
    </row>
    <row r="1063" spans="7:7" x14ac:dyDescent="0.25">
      <c r="G1063"/>
    </row>
    <row r="1064" spans="7:7" x14ac:dyDescent="0.25">
      <c r="G1064"/>
    </row>
    <row r="1065" spans="7:7" x14ac:dyDescent="0.25">
      <c r="G1065"/>
    </row>
    <row r="1066" spans="7:7" x14ac:dyDescent="0.25">
      <c r="G1066"/>
    </row>
    <row r="1067" spans="7:7" x14ac:dyDescent="0.25">
      <c r="G1067"/>
    </row>
    <row r="1068" spans="7:7" x14ac:dyDescent="0.25">
      <c r="G1068"/>
    </row>
    <row r="1069" spans="7:7" x14ac:dyDescent="0.25">
      <c r="G1069"/>
    </row>
    <row r="1070" spans="7:7" x14ac:dyDescent="0.25">
      <c r="G1070"/>
    </row>
    <row r="1071" spans="7:7" x14ac:dyDescent="0.25">
      <c r="G1071"/>
    </row>
    <row r="1072" spans="7:7" x14ac:dyDescent="0.25">
      <c r="G1072"/>
    </row>
    <row r="1073" spans="5:7" x14ac:dyDescent="0.25">
      <c r="G1073"/>
    </row>
    <row r="1074" spans="5:7" x14ac:dyDescent="0.25">
      <c r="E1074" s="54"/>
      <c r="G1074"/>
    </row>
    <row r="1075" spans="5:7" x14ac:dyDescent="0.25">
      <c r="G1075"/>
    </row>
    <row r="1076" spans="5:7" x14ac:dyDescent="0.25">
      <c r="G1076"/>
    </row>
    <row r="1077" spans="5:7" x14ac:dyDescent="0.25">
      <c r="G1077"/>
    </row>
    <row r="1078" spans="5:7" x14ac:dyDescent="0.25">
      <c r="G1078"/>
    </row>
    <row r="1079" spans="5:7" x14ac:dyDescent="0.25">
      <c r="G1079"/>
    </row>
    <row r="1080" spans="5:7" x14ac:dyDescent="0.25">
      <c r="G1080"/>
    </row>
    <row r="1081" spans="5:7" x14ac:dyDescent="0.25">
      <c r="G1081"/>
    </row>
    <row r="1082" spans="5:7" x14ac:dyDescent="0.25">
      <c r="G1082"/>
    </row>
    <row r="1083" spans="5:7" x14ac:dyDescent="0.25">
      <c r="G1083"/>
    </row>
    <row r="1084" spans="5:7" x14ac:dyDescent="0.25">
      <c r="G1084"/>
    </row>
    <row r="1085" spans="5:7" x14ac:dyDescent="0.25">
      <c r="G1085"/>
    </row>
    <row r="1086" spans="5:7" x14ac:dyDescent="0.25">
      <c r="G1086"/>
    </row>
    <row r="1087" spans="5:7" x14ac:dyDescent="0.25">
      <c r="G1087"/>
    </row>
    <row r="1088" spans="5:7" x14ac:dyDescent="0.25">
      <c r="G1088"/>
    </row>
    <row r="1089" spans="5:7" x14ac:dyDescent="0.25">
      <c r="G1089"/>
    </row>
    <row r="1090" spans="5:7" x14ac:dyDescent="0.25">
      <c r="G1090"/>
    </row>
    <row r="1091" spans="5:7" x14ac:dyDescent="0.25">
      <c r="G1091"/>
    </row>
    <row r="1092" spans="5:7" x14ac:dyDescent="0.25">
      <c r="G1092"/>
    </row>
    <row r="1093" spans="5:7" x14ac:dyDescent="0.25">
      <c r="G1093"/>
    </row>
    <row r="1094" spans="5:7" x14ac:dyDescent="0.25">
      <c r="G1094"/>
    </row>
    <row r="1095" spans="5:7" x14ac:dyDescent="0.25">
      <c r="G1095"/>
    </row>
    <row r="1096" spans="5:7" x14ac:dyDescent="0.25">
      <c r="G1096"/>
    </row>
    <row r="1097" spans="5:7" x14ac:dyDescent="0.25">
      <c r="G1097"/>
    </row>
    <row r="1098" spans="5:7" x14ac:dyDescent="0.25">
      <c r="G1098"/>
    </row>
    <row r="1099" spans="5:7" x14ac:dyDescent="0.25">
      <c r="G1099"/>
    </row>
    <row r="1100" spans="5:7" x14ac:dyDescent="0.25">
      <c r="G1100"/>
    </row>
    <row r="1101" spans="5:7" x14ac:dyDescent="0.25">
      <c r="G1101"/>
    </row>
    <row r="1102" spans="5:7" x14ac:dyDescent="0.25">
      <c r="G1102"/>
    </row>
    <row r="1103" spans="5:7" x14ac:dyDescent="0.25">
      <c r="E1103" s="54"/>
      <c r="G1103"/>
    </row>
    <row r="1104" spans="5:7" x14ac:dyDescent="0.25">
      <c r="G1104"/>
    </row>
    <row r="1105" spans="7:7" x14ac:dyDescent="0.25">
      <c r="G1105"/>
    </row>
    <row r="1106" spans="7:7" x14ac:dyDescent="0.25">
      <c r="G1106"/>
    </row>
    <row r="1107" spans="7:7" x14ac:dyDescent="0.25">
      <c r="G1107"/>
    </row>
    <row r="1108" spans="7:7" x14ac:dyDescent="0.25">
      <c r="G1108"/>
    </row>
    <row r="1109" spans="7:7" x14ac:dyDescent="0.25">
      <c r="G1109"/>
    </row>
    <row r="1110" spans="7:7" x14ac:dyDescent="0.25">
      <c r="G1110"/>
    </row>
    <row r="1111" spans="7:7" x14ac:dyDescent="0.25">
      <c r="G1111"/>
    </row>
    <row r="1112" spans="7:7" x14ac:dyDescent="0.25">
      <c r="G1112"/>
    </row>
    <row r="1113" spans="7:7" x14ac:dyDescent="0.25">
      <c r="G1113"/>
    </row>
    <row r="1114" spans="7:7" x14ac:dyDescent="0.25">
      <c r="G1114"/>
    </row>
    <row r="1115" spans="7:7" x14ac:dyDescent="0.25">
      <c r="G1115"/>
    </row>
    <row r="1116" spans="7:7" x14ac:dyDescent="0.25">
      <c r="G1116"/>
    </row>
    <row r="1117" spans="7:7" x14ac:dyDescent="0.25">
      <c r="G1117"/>
    </row>
    <row r="1118" spans="7:7" x14ac:dyDescent="0.25">
      <c r="G1118"/>
    </row>
    <row r="1119" spans="7:7" x14ac:dyDescent="0.25">
      <c r="G1119"/>
    </row>
    <row r="1120" spans="7:7" x14ac:dyDescent="0.25">
      <c r="G1120"/>
    </row>
    <row r="1121" spans="1:7" x14ac:dyDescent="0.25">
      <c r="G1121"/>
    </row>
    <row r="1122" spans="1:7" x14ac:dyDescent="0.25">
      <c r="G1122"/>
    </row>
    <row r="1123" spans="1:7" x14ac:dyDescent="0.25">
      <c r="G1123"/>
    </row>
    <row r="1124" spans="1:7" x14ac:dyDescent="0.25">
      <c r="G1124"/>
    </row>
    <row r="1125" spans="1:7" x14ac:dyDescent="0.25">
      <c r="G1125"/>
    </row>
    <row r="1126" spans="1:7" x14ac:dyDescent="0.25">
      <c r="G1126"/>
    </row>
    <row r="1127" spans="1:7" x14ac:dyDescent="0.25">
      <c r="G1127"/>
    </row>
    <row r="1128" spans="1:7" x14ac:dyDescent="0.25">
      <c r="G1128"/>
    </row>
    <row r="1129" spans="1:7" x14ac:dyDescent="0.25">
      <c r="G1129"/>
    </row>
    <row r="1130" spans="1:7" x14ac:dyDescent="0.25">
      <c r="G1130"/>
    </row>
    <row r="1131" spans="1:7" x14ac:dyDescent="0.25">
      <c r="G1131"/>
    </row>
    <row r="1132" spans="1:7" x14ac:dyDescent="0.25">
      <c r="G1132"/>
    </row>
    <row r="1133" spans="1:7" x14ac:dyDescent="0.25">
      <c r="G1133"/>
    </row>
    <row r="1134" spans="1:7" x14ac:dyDescent="0.25">
      <c r="G1134"/>
    </row>
    <row r="1135" spans="1:7" x14ac:dyDescent="0.25">
      <c r="A1135" s="48"/>
      <c r="E1135" s="54"/>
      <c r="F1135"/>
      <c r="G1135"/>
    </row>
    <row r="1136" spans="1:7" x14ac:dyDescent="0.25">
      <c r="A1136" s="48"/>
      <c r="E1136" s="54"/>
      <c r="F1136"/>
      <c r="G1136"/>
    </row>
    <row r="1137" spans="1:7" x14ac:dyDescent="0.25">
      <c r="A1137" s="48"/>
      <c r="E1137" s="54"/>
      <c r="F1137"/>
      <c r="G1137"/>
    </row>
    <row r="1138" spans="1:7" x14ac:dyDescent="0.25">
      <c r="A1138" s="48"/>
      <c r="E1138" s="54"/>
      <c r="F1138"/>
      <c r="G1138"/>
    </row>
    <row r="1139" spans="1:7" x14ac:dyDescent="0.25">
      <c r="A1139" s="48"/>
      <c r="E1139" s="54"/>
      <c r="F1139"/>
      <c r="G1139"/>
    </row>
    <row r="1140" spans="1:7" x14ac:dyDescent="0.25">
      <c r="A1140" s="48"/>
      <c r="E1140" s="54"/>
      <c r="F1140"/>
      <c r="G1140"/>
    </row>
    <row r="1141" spans="1:7" x14ac:dyDescent="0.25">
      <c r="A1141" s="48"/>
      <c r="E1141" s="54"/>
      <c r="F1141"/>
      <c r="G1141"/>
    </row>
    <row r="1142" spans="1:7" x14ac:dyDescent="0.25">
      <c r="A1142" s="48"/>
      <c r="E1142" s="54"/>
      <c r="F1142"/>
      <c r="G1142"/>
    </row>
    <row r="1143" spans="1:7" x14ac:dyDescent="0.25">
      <c r="A1143" s="48"/>
      <c r="E1143" s="54"/>
      <c r="F1143"/>
      <c r="G1143"/>
    </row>
    <row r="1144" spans="1:7" x14ac:dyDescent="0.25">
      <c r="A1144" s="48"/>
      <c r="E1144" s="54"/>
      <c r="F1144"/>
      <c r="G1144"/>
    </row>
    <row r="1145" spans="1:7" x14ac:dyDescent="0.25">
      <c r="A1145" s="48"/>
      <c r="E1145" s="54"/>
      <c r="F1145"/>
      <c r="G1145"/>
    </row>
    <row r="1146" spans="1:7" x14ac:dyDescent="0.25">
      <c r="A1146" s="48"/>
      <c r="E1146" s="54"/>
      <c r="F1146"/>
      <c r="G1146"/>
    </row>
    <row r="1147" spans="1:7" x14ac:dyDescent="0.25">
      <c r="A1147" s="48"/>
      <c r="E1147" s="54"/>
      <c r="F1147"/>
      <c r="G1147"/>
    </row>
    <row r="1148" spans="1:7" x14ac:dyDescent="0.25">
      <c r="A1148" s="48"/>
      <c r="E1148" s="54"/>
      <c r="F1148"/>
      <c r="G1148"/>
    </row>
    <row r="1149" spans="1:7" x14ac:dyDescent="0.25">
      <c r="A1149" s="39"/>
      <c r="F1149" s="2"/>
      <c r="G1149"/>
    </row>
    <row r="1150" spans="1:7" x14ac:dyDescent="0.25">
      <c r="G1150"/>
    </row>
    <row r="1151" spans="1:7" x14ac:dyDescent="0.25">
      <c r="A1151" s="39"/>
      <c r="F1151" s="2"/>
      <c r="G1151"/>
    </row>
    <row r="1152" spans="1:7" x14ac:dyDescent="0.25">
      <c r="A1152" s="39"/>
      <c r="F1152" s="2"/>
      <c r="G1152"/>
    </row>
    <row r="1153" spans="1:7" x14ac:dyDescent="0.25">
      <c r="A1153" s="48"/>
      <c r="E1153" s="54"/>
      <c r="F1153"/>
      <c r="G1153"/>
    </row>
    <row r="1154" spans="1:7" x14ac:dyDescent="0.25">
      <c r="A1154" s="48"/>
      <c r="E1154" s="54"/>
      <c r="F1154"/>
      <c r="G1154"/>
    </row>
    <row r="1155" spans="1:7" x14ac:dyDescent="0.25">
      <c r="A1155" s="48"/>
      <c r="E1155" s="54"/>
      <c r="F1155"/>
      <c r="G1155"/>
    </row>
    <row r="1156" spans="1:7" x14ac:dyDescent="0.25">
      <c r="A1156" s="48"/>
      <c r="E1156" s="54"/>
      <c r="F1156"/>
      <c r="G1156"/>
    </row>
    <row r="1157" spans="1:7" x14ac:dyDescent="0.25">
      <c r="A1157" s="48"/>
      <c r="E1157" s="54"/>
      <c r="F1157"/>
      <c r="G1157"/>
    </row>
    <row r="1158" spans="1:7" x14ac:dyDescent="0.25">
      <c r="A1158" s="48"/>
      <c r="E1158" s="54"/>
      <c r="F1158"/>
      <c r="G1158"/>
    </row>
    <row r="1159" spans="1:7" x14ac:dyDescent="0.25">
      <c r="A1159" s="48"/>
      <c r="E1159" s="54"/>
      <c r="F1159"/>
      <c r="G1159"/>
    </row>
    <row r="1160" spans="1:7" x14ac:dyDescent="0.25">
      <c r="A1160" s="48"/>
      <c r="E1160" s="54"/>
      <c r="F1160"/>
      <c r="G1160"/>
    </row>
    <row r="1161" spans="1:7" x14ac:dyDescent="0.25">
      <c r="A1161" s="48"/>
      <c r="E1161" s="54"/>
      <c r="F1161"/>
      <c r="G1161"/>
    </row>
    <row r="1162" spans="1:7" x14ac:dyDescent="0.25">
      <c r="A1162" s="48"/>
      <c r="E1162" s="54"/>
      <c r="F1162"/>
      <c r="G1162"/>
    </row>
    <row r="1163" spans="1:7" x14ac:dyDescent="0.25">
      <c r="A1163" s="48"/>
      <c r="E1163" s="54"/>
      <c r="F1163"/>
      <c r="G1163"/>
    </row>
    <row r="1164" spans="1:7" x14ac:dyDescent="0.25">
      <c r="A1164" s="48"/>
      <c r="E1164" s="54"/>
      <c r="F1164"/>
      <c r="G1164"/>
    </row>
    <row r="1165" spans="1:7" x14ac:dyDescent="0.25">
      <c r="A1165" s="48"/>
      <c r="E1165" s="54"/>
      <c r="F1165"/>
      <c r="G1165"/>
    </row>
    <row r="1166" spans="1:7" x14ac:dyDescent="0.25">
      <c r="A1166" s="48"/>
      <c r="E1166" s="54"/>
      <c r="F1166"/>
      <c r="G1166"/>
    </row>
    <row r="1167" spans="1:7" x14ac:dyDescent="0.25">
      <c r="A1167" s="48"/>
      <c r="E1167" s="54"/>
      <c r="F1167"/>
      <c r="G1167"/>
    </row>
    <row r="1168" spans="1:7" x14ac:dyDescent="0.25">
      <c r="A1168" s="48"/>
      <c r="E1168" s="54"/>
      <c r="F1168"/>
      <c r="G1168"/>
    </row>
    <row r="1169" spans="1:7" x14ac:dyDescent="0.25">
      <c r="A1169" s="48"/>
      <c r="E1169" s="54"/>
      <c r="F1169"/>
      <c r="G1169"/>
    </row>
    <row r="1170" spans="1:7" x14ac:dyDescent="0.25">
      <c r="A1170" s="48"/>
      <c r="E1170" s="54"/>
      <c r="F1170"/>
      <c r="G1170"/>
    </row>
    <row r="1171" spans="1:7" x14ac:dyDescent="0.25">
      <c r="A1171" s="48"/>
      <c r="E1171" s="54"/>
      <c r="F1171"/>
      <c r="G1171"/>
    </row>
    <row r="1172" spans="1:7" x14ac:dyDescent="0.25">
      <c r="A1172" s="48"/>
      <c r="E1172" s="54"/>
      <c r="F1172"/>
      <c r="G1172"/>
    </row>
    <row r="1173" spans="1:7" x14ac:dyDescent="0.25">
      <c r="A1173" s="48"/>
      <c r="E1173" s="54"/>
      <c r="F1173"/>
      <c r="G1173"/>
    </row>
    <row r="1174" spans="1:7" x14ac:dyDescent="0.25">
      <c r="A1174" s="48"/>
      <c r="E1174" s="54"/>
      <c r="F1174"/>
      <c r="G1174"/>
    </row>
    <row r="1175" spans="1:7" x14ac:dyDescent="0.25">
      <c r="A1175" s="48"/>
      <c r="E1175" s="54"/>
      <c r="F1175"/>
      <c r="G1175"/>
    </row>
    <row r="1176" spans="1:7" x14ac:dyDescent="0.25">
      <c r="A1176" s="48"/>
      <c r="E1176" s="54"/>
      <c r="F1176"/>
      <c r="G1176"/>
    </row>
    <row r="1177" spans="1:7" x14ac:dyDescent="0.25">
      <c r="A1177" s="48"/>
      <c r="E1177" s="54"/>
      <c r="F1177"/>
      <c r="G1177"/>
    </row>
    <row r="1178" spans="1:7" x14ac:dyDescent="0.25">
      <c r="A1178" s="48"/>
      <c r="E1178" s="54"/>
      <c r="F1178"/>
      <c r="G1178"/>
    </row>
    <row r="1179" spans="1:7" x14ac:dyDescent="0.25">
      <c r="A1179" s="48"/>
      <c r="E1179" s="54"/>
      <c r="F1179"/>
      <c r="G1179"/>
    </row>
    <row r="1180" spans="1:7" x14ac:dyDescent="0.25">
      <c r="A1180" s="48"/>
      <c r="E1180" s="54"/>
      <c r="F1180"/>
      <c r="G1180"/>
    </row>
    <row r="1181" spans="1:7" x14ac:dyDescent="0.25">
      <c r="A1181" s="39"/>
      <c r="G1181"/>
    </row>
    <row r="1182" spans="1:7" x14ac:dyDescent="0.25">
      <c r="A1182" s="48"/>
      <c r="E1182" s="54"/>
      <c r="F1182"/>
      <c r="G1182"/>
    </row>
    <row r="1183" spans="1:7" x14ac:dyDescent="0.25">
      <c r="A1183" s="48"/>
      <c r="E1183" s="54"/>
      <c r="F1183"/>
      <c r="G1183"/>
    </row>
    <row r="1184" spans="1:7" x14ac:dyDescent="0.25">
      <c r="A1184" s="48"/>
      <c r="E1184" s="54"/>
      <c r="F1184"/>
      <c r="G1184"/>
    </row>
    <row r="1185" spans="1:7" x14ac:dyDescent="0.25">
      <c r="A1185" s="48"/>
      <c r="E1185" s="54"/>
      <c r="F1185"/>
      <c r="G1185"/>
    </row>
    <row r="1186" spans="1:7" x14ac:dyDescent="0.25">
      <c r="A1186" s="48"/>
      <c r="E1186" s="54"/>
      <c r="F1186"/>
      <c r="G1186"/>
    </row>
    <row r="1187" spans="1:7" x14ac:dyDescent="0.25">
      <c r="A1187" s="48"/>
      <c r="E1187" s="54"/>
      <c r="F1187"/>
      <c r="G1187"/>
    </row>
    <row r="1188" spans="1:7" x14ac:dyDescent="0.25">
      <c r="A1188" s="48"/>
      <c r="E1188" s="54"/>
      <c r="F1188"/>
      <c r="G1188"/>
    </row>
    <row r="1189" spans="1:7" x14ac:dyDescent="0.25">
      <c r="A1189" s="48"/>
      <c r="E1189" s="54"/>
      <c r="F1189"/>
      <c r="G1189"/>
    </row>
    <row r="1190" spans="1:7" x14ac:dyDescent="0.25">
      <c r="A1190" s="39"/>
      <c r="F1190" s="2"/>
      <c r="G1190"/>
    </row>
    <row r="1191" spans="1:7" x14ac:dyDescent="0.25">
      <c r="A1191" s="39"/>
      <c r="F1191" s="2"/>
      <c r="G1191"/>
    </row>
    <row r="1192" spans="1:7" x14ac:dyDescent="0.25">
      <c r="A1192" s="39"/>
      <c r="F1192" s="2"/>
      <c r="G1192"/>
    </row>
    <row r="1193" spans="1:7" x14ac:dyDescent="0.25">
      <c r="A1193" s="39"/>
      <c r="F1193" s="2"/>
      <c r="G1193"/>
    </row>
    <row r="1194" spans="1:7" x14ac:dyDescent="0.25">
      <c r="A1194" s="39"/>
      <c r="F1194" s="2"/>
      <c r="G1194"/>
    </row>
    <row r="1195" spans="1:7" x14ac:dyDescent="0.25">
      <c r="A1195" s="39"/>
      <c r="F1195" s="2"/>
      <c r="G1195"/>
    </row>
    <row r="1196" spans="1:7" x14ac:dyDescent="0.25">
      <c r="A1196" s="39"/>
      <c r="F1196" s="2"/>
      <c r="G1196"/>
    </row>
    <row r="1197" spans="1:7" x14ac:dyDescent="0.25">
      <c r="A1197" s="39"/>
      <c r="F1197" s="2"/>
      <c r="G1197"/>
    </row>
    <row r="1198" spans="1:7" x14ac:dyDescent="0.25">
      <c r="A1198" s="39"/>
      <c r="G1198"/>
    </row>
    <row r="1199" spans="1:7" x14ac:dyDescent="0.25">
      <c r="A1199" s="39"/>
      <c r="G1199"/>
    </row>
    <row r="1200" spans="1:7" x14ac:dyDescent="0.25">
      <c r="A1200" s="39"/>
      <c r="G1200"/>
    </row>
    <row r="1201" spans="1:7" x14ac:dyDescent="0.25">
      <c r="A1201" s="39"/>
      <c r="G1201"/>
    </row>
    <row r="1202" spans="1:7" x14ac:dyDescent="0.25">
      <c r="A1202" s="39"/>
      <c r="G1202"/>
    </row>
    <row r="1203" spans="1:7" x14ac:dyDescent="0.25">
      <c r="A1203" s="39"/>
      <c r="G1203"/>
    </row>
    <row r="1204" spans="1:7" x14ac:dyDescent="0.25">
      <c r="A1204" s="39"/>
      <c r="G1204"/>
    </row>
    <row r="1205" spans="1:7" x14ac:dyDescent="0.25">
      <c r="A1205" s="39"/>
      <c r="G1205"/>
    </row>
    <row r="1206" spans="1:7" x14ac:dyDescent="0.25">
      <c r="A1206" s="39"/>
      <c r="G1206"/>
    </row>
    <row r="1207" spans="1:7" x14ac:dyDescent="0.25">
      <c r="A1207" s="39"/>
      <c r="G1207"/>
    </row>
    <row r="1208" spans="1:7" x14ac:dyDescent="0.25">
      <c r="A1208" s="39"/>
      <c r="G1208"/>
    </row>
    <row r="1209" spans="1:7" x14ac:dyDescent="0.25">
      <c r="A1209" s="39"/>
      <c r="G1209"/>
    </row>
    <row r="1210" spans="1:7" x14ac:dyDescent="0.25">
      <c r="A1210" s="39"/>
      <c r="G1210"/>
    </row>
    <row r="1211" spans="1:7" x14ac:dyDescent="0.25">
      <c r="A1211" s="39"/>
      <c r="G1211"/>
    </row>
    <row r="1212" spans="1:7" x14ac:dyDescent="0.25">
      <c r="A1212" s="39"/>
      <c r="G1212"/>
    </row>
    <row r="1213" spans="1:7" x14ac:dyDescent="0.25">
      <c r="A1213" s="39"/>
      <c r="G1213"/>
    </row>
    <row r="1214" spans="1:7" x14ac:dyDescent="0.25">
      <c r="A1214" s="39"/>
      <c r="G1214"/>
    </row>
    <row r="1215" spans="1:7" x14ac:dyDescent="0.25">
      <c r="A1215" s="39"/>
      <c r="G1215"/>
    </row>
    <row r="1216" spans="1:7" x14ac:dyDescent="0.25">
      <c r="A1216" s="39"/>
      <c r="G1216"/>
    </row>
    <row r="1217" spans="1:7" x14ac:dyDescent="0.25">
      <c r="A1217" s="39"/>
      <c r="G1217"/>
    </row>
    <row r="1218" spans="1:7" x14ac:dyDescent="0.25">
      <c r="A1218" s="39"/>
      <c r="G1218"/>
    </row>
    <row r="1219" spans="1:7" x14ac:dyDescent="0.25">
      <c r="A1219" s="39"/>
      <c r="G1219"/>
    </row>
    <row r="1220" spans="1:7" x14ac:dyDescent="0.25">
      <c r="A1220" s="39"/>
      <c r="G1220"/>
    </row>
    <row r="1221" spans="1:7" x14ac:dyDescent="0.25">
      <c r="A1221" s="39"/>
      <c r="G1221"/>
    </row>
    <row r="1222" spans="1:7" x14ac:dyDescent="0.25">
      <c r="A1222" s="39"/>
      <c r="G1222"/>
    </row>
    <row r="1223" spans="1:7" x14ac:dyDescent="0.25">
      <c r="A1223" s="39"/>
      <c r="G1223"/>
    </row>
    <row r="1224" spans="1:7" x14ac:dyDescent="0.25">
      <c r="G1224"/>
    </row>
    <row r="1225" spans="1:7" x14ac:dyDescent="0.25">
      <c r="G1225"/>
    </row>
    <row r="1226" spans="1:7" x14ac:dyDescent="0.25">
      <c r="A1226" s="39"/>
      <c r="G1226"/>
    </row>
    <row r="1227" spans="1:7" x14ac:dyDescent="0.25">
      <c r="A1227" s="39"/>
      <c r="G1227"/>
    </row>
    <row r="1228" spans="1:7" x14ac:dyDescent="0.25">
      <c r="A1228" s="39"/>
      <c r="G1228"/>
    </row>
    <row r="1229" spans="1:7" x14ac:dyDescent="0.25">
      <c r="A1229" s="39"/>
      <c r="F1229" s="2"/>
      <c r="G1229"/>
    </row>
    <row r="1230" spans="1:7" x14ac:dyDescent="0.25">
      <c r="A1230" s="39"/>
      <c r="F1230" s="2"/>
      <c r="G1230"/>
    </row>
    <row r="1231" spans="1:7" x14ac:dyDescent="0.25">
      <c r="A1231" s="39"/>
      <c r="F1231" s="2"/>
      <c r="G1231"/>
    </row>
    <row r="1232" spans="1:7" x14ac:dyDescent="0.25">
      <c r="A1232" s="39"/>
      <c r="F1232" s="2"/>
      <c r="G1232"/>
    </row>
    <row r="1233" spans="1:7" x14ac:dyDescent="0.25">
      <c r="A1233" s="39"/>
      <c r="F1233" s="2"/>
      <c r="G1233"/>
    </row>
    <row r="1234" spans="1:7" x14ac:dyDescent="0.25">
      <c r="A1234" s="39"/>
      <c r="F1234" s="2"/>
      <c r="G1234"/>
    </row>
    <row r="1235" spans="1:7" x14ac:dyDescent="0.25">
      <c r="A1235" s="39"/>
      <c r="F1235" s="2"/>
      <c r="G1235"/>
    </row>
    <row r="1236" spans="1:7" x14ac:dyDescent="0.25">
      <c r="A1236" s="39"/>
      <c r="F1236" s="2"/>
      <c r="G1236"/>
    </row>
    <row r="1237" spans="1:7" x14ac:dyDescent="0.25">
      <c r="A1237" s="39"/>
      <c r="F1237" s="2"/>
      <c r="G1237"/>
    </row>
    <row r="1238" spans="1:7" x14ac:dyDescent="0.25">
      <c r="A1238" s="39"/>
      <c r="F1238" s="2"/>
      <c r="G1238"/>
    </row>
    <row r="1239" spans="1:7" x14ac:dyDescent="0.25">
      <c r="A1239" s="39"/>
      <c r="F1239" s="2"/>
      <c r="G1239"/>
    </row>
    <row r="1240" spans="1:7" x14ac:dyDescent="0.25">
      <c r="A1240" s="39"/>
      <c r="F1240" s="2"/>
      <c r="G1240"/>
    </row>
    <row r="1241" spans="1:7" x14ac:dyDescent="0.25">
      <c r="A1241" s="39"/>
      <c r="F1241" s="2"/>
      <c r="G1241"/>
    </row>
    <row r="1242" spans="1:7" x14ac:dyDescent="0.25">
      <c r="A1242" s="39"/>
      <c r="F1242" s="2"/>
      <c r="G1242"/>
    </row>
    <row r="1243" spans="1:7" x14ac:dyDescent="0.25">
      <c r="A1243" s="39"/>
      <c r="F1243" s="2"/>
      <c r="G1243"/>
    </row>
    <row r="1244" spans="1:7" x14ac:dyDescent="0.25">
      <c r="A1244" s="39"/>
      <c r="F1244" s="2"/>
      <c r="G1244"/>
    </row>
    <row r="1245" spans="1:7" x14ac:dyDescent="0.25">
      <c r="A1245" s="39"/>
      <c r="F1245" s="2"/>
      <c r="G1245"/>
    </row>
    <row r="1246" spans="1:7" x14ac:dyDescent="0.25">
      <c r="A1246" s="39"/>
      <c r="F1246" s="2"/>
      <c r="G1246"/>
    </row>
    <row r="1247" spans="1:7" x14ac:dyDescent="0.25">
      <c r="A1247" s="39"/>
      <c r="F1247" s="2"/>
      <c r="G1247"/>
    </row>
    <row r="1248" spans="1:7" x14ac:dyDescent="0.25">
      <c r="A1248" s="39"/>
      <c r="F1248" s="2"/>
      <c r="G1248"/>
    </row>
    <row r="1249" spans="1:7" x14ac:dyDescent="0.25">
      <c r="A1249" s="39"/>
      <c r="F1249" s="2"/>
      <c r="G1249"/>
    </row>
    <row r="1250" spans="1:7" x14ac:dyDescent="0.25">
      <c r="A1250" s="39"/>
      <c r="F1250" s="2"/>
      <c r="G1250"/>
    </row>
    <row r="1251" spans="1:7" x14ac:dyDescent="0.25">
      <c r="A1251" s="39"/>
      <c r="F1251" s="2"/>
      <c r="G1251"/>
    </row>
    <row r="1252" spans="1:7" x14ac:dyDescent="0.25">
      <c r="A1252" s="39"/>
      <c r="F1252" s="2"/>
      <c r="G1252"/>
    </row>
    <row r="1253" spans="1:7" x14ac:dyDescent="0.25">
      <c r="A1253" s="39"/>
      <c r="F1253" s="2"/>
      <c r="G1253"/>
    </row>
    <row r="1254" spans="1:7" x14ac:dyDescent="0.25">
      <c r="A1254" s="39"/>
      <c r="F1254" s="2"/>
      <c r="G1254"/>
    </row>
    <row r="1255" spans="1:7" x14ac:dyDescent="0.25">
      <c r="A1255" s="39"/>
      <c r="E1255" s="54"/>
      <c r="F1255" s="2"/>
      <c r="G1255"/>
    </row>
    <row r="1256" spans="1:7" x14ac:dyDescent="0.25">
      <c r="A1256" s="39"/>
      <c r="F1256" s="2"/>
      <c r="G1256"/>
    </row>
    <row r="1257" spans="1:7" x14ac:dyDescent="0.25">
      <c r="A1257" s="39"/>
      <c r="E1257" s="54"/>
      <c r="F1257" s="2"/>
      <c r="G1257"/>
    </row>
    <row r="1258" spans="1:7" x14ac:dyDescent="0.25">
      <c r="A1258" s="39"/>
      <c r="E1258" s="54"/>
      <c r="F1258" s="2"/>
      <c r="G1258"/>
    </row>
    <row r="1259" spans="1:7" x14ac:dyDescent="0.25">
      <c r="A1259" s="39"/>
      <c r="E1259" s="54"/>
      <c r="F1259" s="2"/>
      <c r="G1259"/>
    </row>
    <row r="1260" spans="1:7" x14ac:dyDescent="0.25">
      <c r="A1260" s="39"/>
      <c r="F1260" s="2"/>
      <c r="G1260"/>
    </row>
    <row r="1261" spans="1:7" x14ac:dyDescent="0.25">
      <c r="A1261" s="39"/>
      <c r="E1261" s="54"/>
      <c r="F1261" s="2"/>
      <c r="G1261"/>
    </row>
    <row r="1262" spans="1:7" x14ac:dyDescent="0.25">
      <c r="A1262" s="39"/>
      <c r="E1262" s="54"/>
      <c r="F1262" s="2"/>
      <c r="G1262"/>
    </row>
    <row r="1263" spans="1:7" x14ac:dyDescent="0.25">
      <c r="A1263" s="39"/>
      <c r="F1263" s="2"/>
      <c r="G1263"/>
    </row>
    <row r="1264" spans="1:7" x14ac:dyDescent="0.25">
      <c r="A1264" s="39"/>
      <c r="E1264" s="54"/>
      <c r="F1264" s="2"/>
      <c r="G1264"/>
    </row>
    <row r="1265" spans="1:7" x14ac:dyDescent="0.25">
      <c r="A1265" s="39"/>
      <c r="F1265" s="2"/>
      <c r="G1265"/>
    </row>
    <row r="1266" spans="1:7" x14ac:dyDescent="0.25">
      <c r="A1266" s="39"/>
      <c r="E1266" s="54"/>
      <c r="F1266" s="2"/>
      <c r="G1266"/>
    </row>
    <row r="1267" spans="1:7" x14ac:dyDescent="0.25">
      <c r="A1267" s="39"/>
      <c r="E1267" s="54"/>
      <c r="F1267" s="2"/>
      <c r="G1267"/>
    </row>
    <row r="1268" spans="1:7" x14ac:dyDescent="0.25">
      <c r="A1268" s="39"/>
      <c r="E1268" s="54"/>
      <c r="F1268" s="2"/>
      <c r="G1268"/>
    </row>
    <row r="1269" spans="1:7" x14ac:dyDescent="0.25">
      <c r="A1269" s="39"/>
      <c r="F1269" s="2"/>
      <c r="G1269"/>
    </row>
    <row r="1270" spans="1:7" x14ac:dyDescent="0.25">
      <c r="A1270" s="39"/>
      <c r="F1270" s="2"/>
      <c r="G1270"/>
    </row>
    <row r="1271" spans="1:7" x14ac:dyDescent="0.25">
      <c r="A1271" s="39"/>
      <c r="E1271" s="54"/>
      <c r="F1271" s="2"/>
      <c r="G1271"/>
    </row>
    <row r="1272" spans="1:7" x14ac:dyDescent="0.25">
      <c r="A1272" s="39"/>
      <c r="E1272" s="54"/>
      <c r="F1272" s="2"/>
      <c r="G1272"/>
    </row>
    <row r="1273" spans="1:7" x14ac:dyDescent="0.25">
      <c r="A1273" s="39"/>
      <c r="F1273" s="2"/>
      <c r="G1273"/>
    </row>
    <row r="1274" spans="1:7" x14ac:dyDescent="0.25">
      <c r="A1274" s="39"/>
      <c r="E1274" s="54"/>
      <c r="F1274" s="2"/>
      <c r="G1274"/>
    </row>
    <row r="1275" spans="1:7" x14ac:dyDescent="0.25">
      <c r="A1275" s="39"/>
      <c r="F1275" s="2"/>
      <c r="G1275"/>
    </row>
    <row r="1276" spans="1:7" x14ac:dyDescent="0.25">
      <c r="A1276" s="39"/>
      <c r="F1276" s="2"/>
      <c r="G1276"/>
    </row>
    <row r="1277" spans="1:7" x14ac:dyDescent="0.25">
      <c r="A1277" s="39"/>
      <c r="F1277" s="2"/>
      <c r="G1277"/>
    </row>
    <row r="1278" spans="1:7" x14ac:dyDescent="0.25">
      <c r="A1278" s="39"/>
      <c r="F1278" s="2"/>
      <c r="G1278"/>
    </row>
    <row r="1279" spans="1:7" x14ac:dyDescent="0.25">
      <c r="A1279" s="39"/>
      <c r="F1279" s="2"/>
      <c r="G1279"/>
    </row>
    <row r="1280" spans="1:7" x14ac:dyDescent="0.25">
      <c r="A1280" s="39"/>
      <c r="G1280"/>
    </row>
    <row r="1281" spans="1:7" x14ac:dyDescent="0.25">
      <c r="A1281" s="39"/>
      <c r="E1281" s="54"/>
      <c r="F1281" s="2"/>
      <c r="G1281"/>
    </row>
    <row r="1282" spans="1:7" x14ac:dyDescent="0.25">
      <c r="A1282" s="39"/>
      <c r="F1282" s="2"/>
      <c r="G1282"/>
    </row>
    <row r="1283" spans="1:7" x14ac:dyDescent="0.25">
      <c r="A1283" s="39"/>
      <c r="F1283" s="2"/>
      <c r="G1283"/>
    </row>
    <row r="1284" spans="1:7" x14ac:dyDescent="0.25">
      <c r="A1284" s="39"/>
      <c r="F1284" s="2"/>
      <c r="G1284"/>
    </row>
    <row r="1285" spans="1:7" x14ac:dyDescent="0.25">
      <c r="A1285" s="39"/>
      <c r="E1285" s="54"/>
      <c r="F1285" s="2"/>
      <c r="G1285"/>
    </row>
    <row r="1286" spans="1:7" x14ac:dyDescent="0.25">
      <c r="A1286" s="39"/>
      <c r="F1286" s="2"/>
      <c r="G1286"/>
    </row>
    <row r="1287" spans="1:7" x14ac:dyDescent="0.25">
      <c r="A1287" s="39"/>
      <c r="F1287" s="2"/>
      <c r="G1287"/>
    </row>
    <row r="1288" spans="1:7" x14ac:dyDescent="0.25">
      <c r="A1288" s="39"/>
      <c r="F1288" s="2"/>
      <c r="G1288"/>
    </row>
    <row r="1289" spans="1:7" x14ac:dyDescent="0.25">
      <c r="A1289" s="39"/>
      <c r="F1289" s="2"/>
      <c r="G1289"/>
    </row>
    <row r="1290" spans="1:7" x14ac:dyDescent="0.25">
      <c r="A1290" s="39"/>
      <c r="E1290" s="54"/>
      <c r="F1290" s="2"/>
      <c r="G1290"/>
    </row>
    <row r="1291" spans="1:7" x14ac:dyDescent="0.25">
      <c r="A1291" s="40"/>
      <c r="F1291" s="2"/>
      <c r="G1291"/>
    </row>
    <row r="1292" spans="1:7" x14ac:dyDescent="0.25">
      <c r="A1292" s="39"/>
      <c r="E1292" s="54"/>
      <c r="F1292" s="2"/>
      <c r="G1292"/>
    </row>
    <row r="1293" spans="1:7" x14ac:dyDescent="0.25">
      <c r="A1293" s="40"/>
      <c r="F1293" s="2"/>
      <c r="G1293"/>
    </row>
    <row r="1294" spans="1:7" x14ac:dyDescent="0.25">
      <c r="A1294" s="39"/>
      <c r="E1294" s="54"/>
      <c r="F1294" s="2"/>
      <c r="G1294"/>
    </row>
    <row r="1295" spans="1:7" x14ac:dyDescent="0.25">
      <c r="A1295" s="40"/>
      <c r="F1295" s="2"/>
      <c r="G1295"/>
    </row>
    <row r="1296" spans="1:7" x14ac:dyDescent="0.25">
      <c r="A1296" s="39"/>
      <c r="F1296" s="2"/>
      <c r="G1296"/>
    </row>
    <row r="1297" spans="1:7" x14ac:dyDescent="0.25">
      <c r="A1297" s="39"/>
      <c r="E1297" s="54"/>
      <c r="F1297" s="2"/>
      <c r="G1297"/>
    </row>
    <row r="1298" spans="1:7" x14ac:dyDescent="0.25">
      <c r="A1298" s="39"/>
      <c r="E1298" s="54"/>
      <c r="G1298"/>
    </row>
    <row r="1299" spans="1:7" x14ac:dyDescent="0.25">
      <c r="A1299" s="39"/>
      <c r="E1299" s="54"/>
      <c r="G1299"/>
    </row>
    <row r="1300" spans="1:7" x14ac:dyDescent="0.25">
      <c r="A1300" s="39"/>
      <c r="F1300" s="2"/>
      <c r="G1300"/>
    </row>
    <row r="1301" spans="1:7" x14ac:dyDescent="0.25">
      <c r="A1301" s="39"/>
      <c r="F1301" s="2"/>
      <c r="G1301"/>
    </row>
    <row r="1302" spans="1:7" x14ac:dyDescent="0.25">
      <c r="A1302" s="39"/>
      <c r="F1302" s="2"/>
      <c r="G1302"/>
    </row>
    <row r="1303" spans="1:7" x14ac:dyDescent="0.25">
      <c r="A1303" s="39"/>
      <c r="E1303" s="54"/>
      <c r="F1303" s="2"/>
      <c r="G1303"/>
    </row>
    <row r="1304" spans="1:7" x14ac:dyDescent="0.25">
      <c r="A1304" s="39"/>
      <c r="E1304" s="54"/>
      <c r="G1304"/>
    </row>
    <row r="1305" spans="1:7" x14ac:dyDescent="0.25">
      <c r="A1305" s="39"/>
      <c r="E1305" s="54"/>
      <c r="G1305"/>
    </row>
    <row r="1306" spans="1:7" x14ac:dyDescent="0.25">
      <c r="A1306" s="39"/>
      <c r="E1306" s="54"/>
      <c r="G1306"/>
    </row>
    <row r="1307" spans="1:7" x14ac:dyDescent="0.25">
      <c r="A1307" s="39"/>
      <c r="F1307" s="2"/>
      <c r="G1307"/>
    </row>
    <row r="1308" spans="1:7" x14ac:dyDescent="0.25">
      <c r="A1308" s="39"/>
      <c r="F1308" s="2"/>
      <c r="G1308"/>
    </row>
    <row r="1309" spans="1:7" x14ac:dyDescent="0.25">
      <c r="A1309" s="39"/>
      <c r="E1309" s="54"/>
      <c r="G1309"/>
    </row>
    <row r="1310" spans="1:7" x14ac:dyDescent="0.25">
      <c r="A1310" s="39"/>
      <c r="F1310" s="2"/>
      <c r="G1310"/>
    </row>
    <row r="1311" spans="1:7" x14ac:dyDescent="0.25">
      <c r="A1311" s="39"/>
      <c r="E1311" s="54"/>
      <c r="G1311"/>
    </row>
    <row r="1312" spans="1:7" x14ac:dyDescent="0.25">
      <c r="A1312" s="39"/>
      <c r="F1312" s="2"/>
      <c r="G1312"/>
    </row>
    <row r="1313" spans="1:7" x14ac:dyDescent="0.25">
      <c r="A1313" s="39"/>
      <c r="F1313" s="2"/>
      <c r="G1313"/>
    </row>
    <row r="1314" spans="1:7" x14ac:dyDescent="0.25">
      <c r="A1314" s="39"/>
      <c r="F1314" s="2"/>
      <c r="G1314"/>
    </row>
    <row r="1315" spans="1:7" x14ac:dyDescent="0.25">
      <c r="A1315" s="39"/>
      <c r="F1315" s="2"/>
      <c r="G1315"/>
    </row>
    <row r="1316" spans="1:7" x14ac:dyDescent="0.25">
      <c r="A1316" s="39"/>
      <c r="F1316" s="2"/>
      <c r="G1316"/>
    </row>
    <row r="1317" spans="1:7" x14ac:dyDescent="0.25">
      <c r="A1317" s="39"/>
      <c r="F1317" s="2"/>
      <c r="G1317"/>
    </row>
    <row r="1318" spans="1:7" x14ac:dyDescent="0.25">
      <c r="A1318" s="39"/>
      <c r="F1318" s="2"/>
      <c r="G1318"/>
    </row>
    <row r="1319" spans="1:7" x14ac:dyDescent="0.25">
      <c r="A1319" s="39"/>
      <c r="F1319" s="2"/>
      <c r="G1319"/>
    </row>
    <row r="1320" spans="1:7" x14ac:dyDescent="0.25">
      <c r="A1320" s="39"/>
      <c r="F1320" s="2"/>
      <c r="G1320"/>
    </row>
    <row r="1321" spans="1:7" x14ac:dyDescent="0.25">
      <c r="A1321" s="39"/>
      <c r="F1321" s="2"/>
      <c r="G1321"/>
    </row>
    <row r="1322" spans="1:7" x14ac:dyDescent="0.25">
      <c r="A1322" s="39"/>
      <c r="F1322" s="2"/>
      <c r="G1322"/>
    </row>
    <row r="1323" spans="1:7" x14ac:dyDescent="0.25">
      <c r="A1323" s="39"/>
      <c r="E1323" s="54"/>
      <c r="G1323"/>
    </row>
    <row r="1324" spans="1:7" x14ac:dyDescent="0.25">
      <c r="A1324" s="39"/>
      <c r="F1324" s="2"/>
      <c r="G1324"/>
    </row>
    <row r="1325" spans="1:7" x14ac:dyDescent="0.25">
      <c r="A1325" s="39"/>
      <c r="E1325" s="54"/>
      <c r="G1325"/>
    </row>
    <row r="1326" spans="1:7" x14ac:dyDescent="0.25">
      <c r="A1326" s="39"/>
      <c r="F1326" s="2"/>
      <c r="G1326"/>
    </row>
    <row r="1327" spans="1:7" x14ac:dyDescent="0.25">
      <c r="A1327" s="39"/>
      <c r="E1327" s="54"/>
      <c r="G1327"/>
    </row>
    <row r="1328" spans="1:7" x14ac:dyDescent="0.25">
      <c r="E1328" s="54"/>
      <c r="G1328"/>
    </row>
    <row r="1329" spans="1:7" x14ac:dyDescent="0.25">
      <c r="A1329" s="39"/>
      <c r="F1329" s="2"/>
      <c r="G1329"/>
    </row>
    <row r="1330" spans="1:7" x14ac:dyDescent="0.25">
      <c r="E1330" s="54"/>
      <c r="G1330"/>
    </row>
    <row r="1331" spans="1:7" x14ac:dyDescent="0.25">
      <c r="E1331" s="54"/>
      <c r="G1331"/>
    </row>
    <row r="1332" spans="1:7" x14ac:dyDescent="0.25">
      <c r="A1332" s="39"/>
      <c r="F1332" s="2"/>
      <c r="G1332"/>
    </row>
    <row r="1333" spans="1:7" x14ac:dyDescent="0.25">
      <c r="E1333" s="54"/>
      <c r="G1333"/>
    </row>
    <row r="1334" spans="1:7" x14ac:dyDescent="0.25">
      <c r="E1334" s="54"/>
      <c r="G1334"/>
    </row>
    <row r="1335" spans="1:7" x14ac:dyDescent="0.25">
      <c r="A1335" s="39"/>
      <c r="F1335" s="2"/>
      <c r="G1335"/>
    </row>
    <row r="1336" spans="1:7" x14ac:dyDescent="0.25">
      <c r="A1336" s="40"/>
      <c r="F1336" s="2"/>
      <c r="G1336"/>
    </row>
    <row r="1337" spans="1:7" x14ac:dyDescent="0.25">
      <c r="A1337" s="39"/>
      <c r="F1337" s="2"/>
      <c r="G1337"/>
    </row>
    <row r="1338" spans="1:7" x14ac:dyDescent="0.25">
      <c r="A1338" s="40"/>
      <c r="F1338" s="2"/>
      <c r="G1338"/>
    </row>
    <row r="1339" spans="1:7" x14ac:dyDescent="0.25">
      <c r="A1339" s="39"/>
      <c r="F1339" s="2"/>
      <c r="G1339"/>
    </row>
    <row r="1340" spans="1:7" x14ac:dyDescent="0.25">
      <c r="A1340" s="39"/>
      <c r="F1340" s="2"/>
      <c r="G1340"/>
    </row>
    <row r="1341" spans="1:7" x14ac:dyDescent="0.25">
      <c r="A1341" s="39"/>
      <c r="F1341" s="2"/>
      <c r="G1341"/>
    </row>
    <row r="1342" spans="1:7" x14ac:dyDescent="0.25">
      <c r="A1342" s="40"/>
      <c r="F1342" s="2"/>
      <c r="G1342"/>
    </row>
    <row r="1343" spans="1:7" x14ac:dyDescent="0.25">
      <c r="A1343" s="39"/>
      <c r="F1343" s="2"/>
      <c r="G1343"/>
    </row>
    <row r="1344" spans="1:7" x14ac:dyDescent="0.25">
      <c r="A1344" s="40"/>
      <c r="F1344" s="2"/>
      <c r="G1344"/>
    </row>
    <row r="1345" spans="1:7" x14ac:dyDescent="0.25">
      <c r="A1345" s="39"/>
      <c r="F1345" s="2"/>
      <c r="G1345"/>
    </row>
    <row r="1346" spans="1:7" x14ac:dyDescent="0.25">
      <c r="A1346" s="39"/>
      <c r="E1346" s="54"/>
      <c r="G1346"/>
    </row>
    <row r="1347" spans="1:7" x14ac:dyDescent="0.25">
      <c r="A1347" s="39"/>
      <c r="F1347" s="2"/>
      <c r="G1347"/>
    </row>
    <row r="1348" spans="1:7" x14ac:dyDescent="0.25">
      <c r="A1348" s="39"/>
      <c r="F1348" s="2"/>
      <c r="G1348"/>
    </row>
    <row r="1349" spans="1:7" x14ac:dyDescent="0.25">
      <c r="A1349" s="45"/>
      <c r="F1349"/>
      <c r="G1349"/>
    </row>
    <row r="1350" spans="1:7" x14ac:dyDescent="0.25">
      <c r="A1350" s="39"/>
      <c r="F1350" s="2"/>
      <c r="G1350"/>
    </row>
    <row r="1351" spans="1:7" x14ac:dyDescent="0.25">
      <c r="A1351" s="39"/>
      <c r="F1351" s="2"/>
      <c r="G1351"/>
    </row>
    <row r="1352" spans="1:7" x14ac:dyDescent="0.25">
      <c r="A1352" s="45"/>
      <c r="E1352" s="54"/>
      <c r="F1352"/>
      <c r="G1352"/>
    </row>
    <row r="1353" spans="1:7" x14ac:dyDescent="0.25">
      <c r="A1353" s="39"/>
      <c r="F1353" s="2"/>
      <c r="G1353"/>
    </row>
    <row r="1354" spans="1:7" x14ac:dyDescent="0.25">
      <c r="A1354" s="39"/>
      <c r="F1354" s="2"/>
      <c r="G1354"/>
    </row>
    <row r="1355" spans="1:7" x14ac:dyDescent="0.25">
      <c r="A1355" s="45"/>
      <c r="E1355" s="54"/>
      <c r="F1355"/>
      <c r="G1355"/>
    </row>
    <row r="1356" spans="1:7" x14ac:dyDescent="0.25">
      <c r="A1356" s="45"/>
      <c r="F1356"/>
      <c r="G1356"/>
    </row>
    <row r="1357" spans="1:7" x14ac:dyDescent="0.25">
      <c r="A1357" s="45"/>
      <c r="F1357"/>
      <c r="G1357"/>
    </row>
    <row r="1358" spans="1:7" x14ac:dyDescent="0.25">
      <c r="A1358" s="45"/>
      <c r="F1358"/>
      <c r="G1358"/>
    </row>
    <row r="1359" spans="1:7" x14ac:dyDescent="0.25">
      <c r="A1359" s="45"/>
      <c r="F1359"/>
      <c r="G1359"/>
    </row>
    <row r="1360" spans="1:7" x14ac:dyDescent="0.25">
      <c r="A1360" s="45"/>
      <c r="F1360"/>
      <c r="G1360"/>
    </row>
    <row r="1361" spans="1:7" x14ac:dyDescent="0.25">
      <c r="A1361" s="45"/>
      <c r="F1361"/>
      <c r="G1361"/>
    </row>
    <row r="1362" spans="1:7" x14ac:dyDescent="0.25">
      <c r="A1362" s="45"/>
      <c r="F1362"/>
      <c r="G1362"/>
    </row>
    <row r="1363" spans="1:7" x14ac:dyDescent="0.25">
      <c r="A1363" s="45"/>
      <c r="F1363"/>
      <c r="G1363"/>
    </row>
    <row r="1364" spans="1:7" x14ac:dyDescent="0.25">
      <c r="A1364" s="45"/>
      <c r="F1364"/>
      <c r="G1364"/>
    </row>
    <row r="1365" spans="1:7" x14ac:dyDescent="0.25">
      <c r="A1365" s="45"/>
      <c r="F1365"/>
      <c r="G1365"/>
    </row>
    <row r="1366" spans="1:7" x14ac:dyDescent="0.25">
      <c r="A1366" s="45"/>
      <c r="F1366"/>
      <c r="G1366"/>
    </row>
    <row r="1367" spans="1:7" x14ac:dyDescent="0.25">
      <c r="A1367" s="45"/>
      <c r="F1367"/>
      <c r="G1367"/>
    </row>
    <row r="1368" spans="1:7" x14ac:dyDescent="0.25">
      <c r="A1368" s="45"/>
      <c r="F1368"/>
      <c r="G1368"/>
    </row>
    <row r="1369" spans="1:7" x14ac:dyDescent="0.25">
      <c r="A1369" s="45"/>
      <c r="F1369"/>
      <c r="G1369"/>
    </row>
    <row r="1370" spans="1:7" x14ac:dyDescent="0.25">
      <c r="A1370" s="39"/>
      <c r="F1370" s="2"/>
      <c r="G1370"/>
    </row>
    <row r="1371" spans="1:7" x14ac:dyDescent="0.25">
      <c r="A1371" s="39"/>
      <c r="F1371" s="2"/>
      <c r="G1371"/>
    </row>
    <row r="1372" spans="1:7" x14ac:dyDescent="0.25">
      <c r="A1372" s="39"/>
      <c r="G1372"/>
    </row>
    <row r="1373" spans="1:7" x14ac:dyDescent="0.25">
      <c r="A1373" s="39"/>
      <c r="G1373"/>
    </row>
    <row r="1374" spans="1:7" x14ac:dyDescent="0.25">
      <c r="A1374" s="39"/>
      <c r="F1374" s="2"/>
      <c r="G1374"/>
    </row>
    <row r="1375" spans="1:7" x14ac:dyDescent="0.25">
      <c r="A1375" s="39"/>
      <c r="F1375" s="2"/>
      <c r="G1375"/>
    </row>
    <row r="1376" spans="1:7" x14ac:dyDescent="0.25">
      <c r="A1376" s="39"/>
      <c r="F1376" s="2"/>
      <c r="G1376"/>
    </row>
    <row r="1377" spans="1:7" x14ac:dyDescent="0.25">
      <c r="A1377" s="39"/>
      <c r="F1377" s="2"/>
      <c r="G1377"/>
    </row>
    <row r="1378" spans="1:7" x14ac:dyDescent="0.25">
      <c r="A1378" s="39"/>
      <c r="F1378" s="2"/>
      <c r="G1378"/>
    </row>
    <row r="1379" spans="1:7" x14ac:dyDescent="0.25">
      <c r="A1379" s="39"/>
      <c r="F1379" s="2"/>
      <c r="G1379"/>
    </row>
    <row r="1380" spans="1:7" x14ac:dyDescent="0.25">
      <c r="A1380" s="39"/>
      <c r="F1380" s="2"/>
      <c r="G1380"/>
    </row>
    <row r="1381" spans="1:7" x14ac:dyDescent="0.25">
      <c r="A1381" s="39"/>
      <c r="F1381" s="2"/>
      <c r="G1381"/>
    </row>
    <row r="1382" spans="1:7" x14ac:dyDescent="0.25">
      <c r="A1382" s="39"/>
      <c r="F1382" s="2"/>
      <c r="G1382"/>
    </row>
    <row r="1383" spans="1:7" x14ac:dyDescent="0.25">
      <c r="A1383" s="39"/>
      <c r="F1383" s="2"/>
      <c r="G1383"/>
    </row>
    <row r="1384" spans="1:7" x14ac:dyDescent="0.25">
      <c r="A1384" s="39"/>
      <c r="F1384" s="2"/>
      <c r="G1384"/>
    </row>
    <row r="1385" spans="1:7" x14ac:dyDescent="0.25">
      <c r="A1385" s="39"/>
      <c r="F1385" s="2"/>
      <c r="G1385"/>
    </row>
    <row r="1386" spans="1:7" x14ac:dyDescent="0.25">
      <c r="A1386" s="39"/>
      <c r="F1386" s="2"/>
      <c r="G1386"/>
    </row>
    <row r="1387" spans="1:7" x14ac:dyDescent="0.25">
      <c r="A1387" s="39"/>
      <c r="F1387" s="2"/>
      <c r="G1387"/>
    </row>
    <row r="1388" spans="1:7" x14ac:dyDescent="0.25">
      <c r="A1388" s="39"/>
      <c r="F1388" s="2"/>
      <c r="G1388"/>
    </row>
    <row r="1389" spans="1:7" x14ac:dyDescent="0.25">
      <c r="A1389" s="39"/>
      <c r="F1389" s="2"/>
      <c r="G1389"/>
    </row>
    <row r="1390" spans="1:7" x14ac:dyDescent="0.25">
      <c r="A1390" s="39"/>
      <c r="F1390" s="2"/>
      <c r="G1390"/>
    </row>
    <row r="1391" spans="1:7" x14ac:dyDescent="0.25">
      <c r="A1391" s="39"/>
      <c r="F1391" s="2"/>
      <c r="G1391"/>
    </row>
    <row r="1392" spans="1:7" x14ac:dyDescent="0.25">
      <c r="A1392" s="39"/>
      <c r="F1392" s="2"/>
      <c r="G1392"/>
    </row>
    <row r="1393" spans="1:7" x14ac:dyDescent="0.25">
      <c r="A1393" s="39"/>
      <c r="F1393" s="2"/>
      <c r="G1393"/>
    </row>
    <row r="1394" spans="1:7" x14ac:dyDescent="0.25">
      <c r="A1394" s="39"/>
      <c r="F1394" s="2"/>
      <c r="G1394"/>
    </row>
    <row r="1395" spans="1:7" x14ac:dyDescent="0.25">
      <c r="A1395" s="39"/>
      <c r="F1395" s="2"/>
      <c r="G1395"/>
    </row>
    <row r="1396" spans="1:7" x14ac:dyDescent="0.25">
      <c r="A1396" s="39"/>
      <c r="F1396" s="2"/>
      <c r="G1396"/>
    </row>
    <row r="1397" spans="1:7" x14ac:dyDescent="0.25">
      <c r="A1397" s="39"/>
      <c r="F1397" s="2"/>
      <c r="G1397"/>
    </row>
    <row r="1398" spans="1:7" x14ac:dyDescent="0.25">
      <c r="A1398" s="39"/>
      <c r="F1398" s="2"/>
      <c r="G1398"/>
    </row>
    <row r="1399" spans="1:7" x14ac:dyDescent="0.25">
      <c r="A1399" s="39"/>
      <c r="E1399" s="54"/>
      <c r="F1399" s="2"/>
      <c r="G1399"/>
    </row>
    <row r="1400" spans="1:7" x14ac:dyDescent="0.25">
      <c r="A1400" s="39"/>
      <c r="E1400" s="54"/>
      <c r="F1400" s="2"/>
      <c r="G1400"/>
    </row>
    <row r="1401" spans="1:7" x14ac:dyDescent="0.25">
      <c r="A1401" s="39"/>
      <c r="F1401" s="2"/>
      <c r="G1401"/>
    </row>
    <row r="1402" spans="1:7" x14ac:dyDescent="0.25">
      <c r="A1402" s="39"/>
      <c r="F1402" s="2"/>
      <c r="G1402"/>
    </row>
    <row r="1403" spans="1:7" x14ac:dyDescent="0.25">
      <c r="A1403" s="39"/>
      <c r="F1403" s="2"/>
      <c r="G1403"/>
    </row>
    <row r="1404" spans="1:7" x14ac:dyDescent="0.25">
      <c r="A1404" s="39"/>
      <c r="F1404" s="2"/>
      <c r="G1404"/>
    </row>
    <row r="1405" spans="1:7" x14ac:dyDescent="0.25">
      <c r="A1405" s="39"/>
      <c r="F1405" s="2"/>
      <c r="G1405"/>
    </row>
    <row r="1406" spans="1:7" x14ac:dyDescent="0.25">
      <c r="A1406" s="39"/>
      <c r="F1406" s="2"/>
      <c r="G1406"/>
    </row>
    <row r="1407" spans="1:7" x14ac:dyDescent="0.25">
      <c r="A1407" s="39"/>
      <c r="F1407" s="2"/>
      <c r="G1407"/>
    </row>
    <row r="1408" spans="1:7" x14ac:dyDescent="0.25">
      <c r="A1408" s="39"/>
      <c r="F1408" s="2"/>
      <c r="G1408"/>
    </row>
    <row r="1409" spans="1:7" x14ac:dyDescent="0.25">
      <c r="A1409" s="39"/>
      <c r="F1409" s="2"/>
      <c r="G1409"/>
    </row>
    <row r="1410" spans="1:7" x14ac:dyDescent="0.25">
      <c r="A1410" s="39"/>
      <c r="F1410" s="2"/>
      <c r="G1410"/>
    </row>
    <row r="1411" spans="1:7" x14ac:dyDescent="0.25">
      <c r="A1411" s="39"/>
      <c r="F1411" s="2"/>
      <c r="G1411"/>
    </row>
    <row r="1412" spans="1:7" x14ac:dyDescent="0.25">
      <c r="A1412" s="39"/>
      <c r="F1412" s="2"/>
      <c r="G1412"/>
    </row>
    <row r="1413" spans="1:7" x14ac:dyDescent="0.25">
      <c r="A1413" s="39"/>
      <c r="F1413" s="2"/>
      <c r="G1413"/>
    </row>
    <row r="1414" spans="1:7" x14ac:dyDescent="0.25">
      <c r="A1414" s="39"/>
      <c r="F1414" s="2"/>
      <c r="G1414"/>
    </row>
    <row r="1415" spans="1:7" x14ac:dyDescent="0.25">
      <c r="A1415" s="39"/>
      <c r="F1415" s="2"/>
      <c r="G1415"/>
    </row>
    <row r="1416" spans="1:7" x14ac:dyDescent="0.25">
      <c r="A1416" s="39"/>
      <c r="F1416" s="2"/>
      <c r="G1416"/>
    </row>
    <row r="1417" spans="1:7" x14ac:dyDescent="0.25">
      <c r="A1417" s="39"/>
      <c r="F1417" s="2"/>
      <c r="G1417"/>
    </row>
    <row r="1418" spans="1:7" x14ac:dyDescent="0.25">
      <c r="A1418" s="39"/>
      <c r="F1418" s="2"/>
      <c r="G1418"/>
    </row>
    <row r="1419" spans="1:7" x14ac:dyDescent="0.25">
      <c r="A1419" s="39"/>
      <c r="F1419" s="2"/>
      <c r="G1419"/>
    </row>
    <row r="1420" spans="1:7" x14ac:dyDescent="0.25">
      <c r="A1420" s="39"/>
      <c r="F1420" s="2"/>
      <c r="G1420"/>
    </row>
    <row r="1421" spans="1:7" x14ac:dyDescent="0.25">
      <c r="A1421" s="39"/>
      <c r="E1421" s="54"/>
      <c r="F1421" s="2"/>
      <c r="G1421"/>
    </row>
    <row r="1422" spans="1:7" x14ac:dyDescent="0.25">
      <c r="A1422" s="39"/>
      <c r="E1422" s="54"/>
      <c r="F1422" s="2"/>
      <c r="G1422"/>
    </row>
    <row r="1423" spans="1:7" x14ac:dyDescent="0.25">
      <c r="A1423" s="39"/>
      <c r="E1423" s="54"/>
      <c r="F1423" s="2"/>
      <c r="G1423"/>
    </row>
    <row r="1424" spans="1:7" x14ac:dyDescent="0.25">
      <c r="A1424" s="39"/>
      <c r="E1424" s="54"/>
      <c r="F1424" s="2"/>
      <c r="G1424"/>
    </row>
    <row r="1425" spans="1:7" x14ac:dyDescent="0.25">
      <c r="A1425" s="39"/>
      <c r="E1425" s="54"/>
      <c r="F1425" s="2"/>
      <c r="G1425"/>
    </row>
    <row r="1426" spans="1:7" x14ac:dyDescent="0.25">
      <c r="A1426" s="39"/>
      <c r="E1426" s="54"/>
      <c r="F1426" s="2"/>
      <c r="G1426"/>
    </row>
    <row r="1427" spans="1:7" x14ac:dyDescent="0.25">
      <c r="A1427" s="39"/>
      <c r="E1427" s="54"/>
      <c r="F1427" s="2"/>
      <c r="G1427"/>
    </row>
    <row r="1428" spans="1:7" x14ac:dyDescent="0.25">
      <c r="A1428" s="39"/>
      <c r="E1428" s="54"/>
      <c r="F1428" s="2"/>
      <c r="G1428"/>
    </row>
    <row r="1429" spans="1:7" x14ac:dyDescent="0.25">
      <c r="A1429" s="39"/>
      <c r="E1429" s="54"/>
      <c r="F1429" s="2"/>
      <c r="G1429"/>
    </row>
    <row r="1430" spans="1:7" x14ac:dyDescent="0.25">
      <c r="A1430" s="39"/>
      <c r="E1430" s="54"/>
      <c r="F1430" s="2"/>
      <c r="G1430"/>
    </row>
    <row r="1431" spans="1:7" x14ac:dyDescent="0.25">
      <c r="A1431" s="39"/>
      <c r="E1431" s="54"/>
      <c r="F1431" s="2"/>
      <c r="G1431"/>
    </row>
    <row r="1432" spans="1:7" x14ac:dyDescent="0.25">
      <c r="A1432" s="39"/>
      <c r="E1432" s="54"/>
      <c r="F1432" s="2"/>
      <c r="G1432"/>
    </row>
    <row r="1433" spans="1:7" x14ac:dyDescent="0.25">
      <c r="A1433" s="39"/>
      <c r="E1433" s="54"/>
      <c r="F1433" s="2"/>
      <c r="G1433"/>
    </row>
    <row r="1434" spans="1:7" x14ac:dyDescent="0.25">
      <c r="A1434" s="39"/>
      <c r="E1434" s="54"/>
      <c r="F1434" s="2"/>
      <c r="G1434"/>
    </row>
    <row r="1435" spans="1:7" x14ac:dyDescent="0.25">
      <c r="A1435" s="39"/>
      <c r="E1435" s="54"/>
      <c r="F1435" s="2"/>
      <c r="G1435"/>
    </row>
    <row r="1436" spans="1:7" x14ac:dyDescent="0.25">
      <c r="A1436" s="39"/>
      <c r="E1436" s="54"/>
      <c r="F1436" s="2"/>
      <c r="G1436"/>
    </row>
    <row r="1437" spans="1:7" x14ac:dyDescent="0.25">
      <c r="A1437" s="39"/>
      <c r="E1437" s="54"/>
      <c r="F1437" s="2"/>
      <c r="G1437"/>
    </row>
    <row r="1438" spans="1:7" x14ac:dyDescent="0.25">
      <c r="A1438" s="39"/>
      <c r="E1438" s="54"/>
      <c r="F1438" s="2"/>
      <c r="G1438"/>
    </row>
    <row r="1439" spans="1:7" x14ac:dyDescent="0.25">
      <c r="A1439" s="39"/>
      <c r="E1439" s="54"/>
      <c r="F1439" s="2"/>
      <c r="G1439"/>
    </row>
    <row r="1440" spans="1:7" x14ac:dyDescent="0.25">
      <c r="A1440" s="39"/>
      <c r="E1440" s="54"/>
      <c r="F1440" s="2"/>
      <c r="G1440"/>
    </row>
    <row r="1441" spans="1:7" x14ac:dyDescent="0.25">
      <c r="A1441" s="39"/>
      <c r="E1441" s="54"/>
      <c r="F1441" s="2"/>
      <c r="G1441"/>
    </row>
    <row r="1442" spans="1:7" x14ac:dyDescent="0.25">
      <c r="A1442" s="39"/>
      <c r="E1442" s="54"/>
      <c r="F1442" s="2"/>
      <c r="G1442"/>
    </row>
    <row r="1443" spans="1:7" x14ac:dyDescent="0.25">
      <c r="A1443" s="39"/>
      <c r="E1443" s="54"/>
      <c r="F1443" s="2"/>
      <c r="G1443"/>
    </row>
    <row r="1444" spans="1:7" x14ac:dyDescent="0.25">
      <c r="A1444" s="39"/>
      <c r="E1444" s="54"/>
      <c r="F1444" s="2"/>
      <c r="G1444"/>
    </row>
    <row r="1445" spans="1:7" x14ac:dyDescent="0.25">
      <c r="A1445" s="39"/>
      <c r="E1445" s="54"/>
      <c r="F1445" s="2"/>
      <c r="G1445"/>
    </row>
    <row r="1446" spans="1:7" x14ac:dyDescent="0.25">
      <c r="A1446" s="39"/>
      <c r="E1446" s="54"/>
      <c r="F1446" s="2"/>
      <c r="G1446"/>
    </row>
    <row r="1447" spans="1:7" x14ac:dyDescent="0.25">
      <c r="A1447" s="39"/>
      <c r="E1447" s="54"/>
      <c r="F1447" s="2"/>
      <c r="G1447"/>
    </row>
    <row r="1448" spans="1:7" x14ac:dyDescent="0.25">
      <c r="A1448" s="39"/>
      <c r="E1448" s="54"/>
      <c r="F1448" s="2"/>
      <c r="G1448"/>
    </row>
    <row r="1449" spans="1:7" x14ac:dyDescent="0.25">
      <c r="A1449" s="39"/>
      <c r="E1449" s="54"/>
      <c r="F1449" s="2"/>
      <c r="G1449"/>
    </row>
    <row r="1450" spans="1:7" x14ac:dyDescent="0.25">
      <c r="A1450" s="39"/>
      <c r="E1450" s="54"/>
      <c r="F1450" s="2"/>
      <c r="G1450"/>
    </row>
    <row r="1451" spans="1:7" x14ac:dyDescent="0.25">
      <c r="A1451" s="39"/>
      <c r="E1451" s="54"/>
      <c r="F1451" s="2"/>
      <c r="G1451"/>
    </row>
    <row r="1452" spans="1:7" x14ac:dyDescent="0.25">
      <c r="A1452" s="39"/>
      <c r="E1452" s="54"/>
      <c r="F1452" s="2"/>
      <c r="G1452"/>
    </row>
    <row r="1453" spans="1:7" x14ac:dyDescent="0.25">
      <c r="A1453" s="39"/>
      <c r="E1453" s="54"/>
      <c r="F1453" s="2"/>
      <c r="G1453"/>
    </row>
    <row r="1454" spans="1:7" x14ac:dyDescent="0.25">
      <c r="A1454" s="39"/>
      <c r="E1454" s="54"/>
      <c r="F1454" s="2"/>
      <c r="G1454"/>
    </row>
    <row r="1455" spans="1:7" x14ac:dyDescent="0.25">
      <c r="A1455" s="39"/>
      <c r="E1455" s="54"/>
      <c r="F1455" s="2"/>
      <c r="G1455"/>
    </row>
    <row r="1456" spans="1:7" x14ac:dyDescent="0.25">
      <c r="A1456" s="39"/>
      <c r="E1456" s="54"/>
      <c r="F1456" s="2"/>
      <c r="G1456"/>
    </row>
    <row r="1457" spans="1:7" x14ac:dyDescent="0.25">
      <c r="A1457" s="39"/>
      <c r="E1457" s="54"/>
      <c r="F1457" s="2"/>
      <c r="G1457"/>
    </row>
    <row r="1458" spans="1:7" x14ac:dyDescent="0.25">
      <c r="A1458" s="39"/>
      <c r="E1458" s="54"/>
      <c r="F1458" s="2"/>
      <c r="G1458"/>
    </row>
    <row r="1459" spans="1:7" x14ac:dyDescent="0.25">
      <c r="A1459" s="39"/>
      <c r="E1459" s="54"/>
      <c r="F1459" s="2"/>
      <c r="G1459"/>
    </row>
    <row r="1460" spans="1:7" x14ac:dyDescent="0.25">
      <c r="A1460" s="39"/>
      <c r="E1460" s="54"/>
      <c r="F1460" s="2"/>
      <c r="G1460"/>
    </row>
    <row r="1461" spans="1:7" x14ac:dyDescent="0.25">
      <c r="A1461" s="39"/>
      <c r="E1461" s="54"/>
      <c r="F1461" s="2"/>
      <c r="G1461"/>
    </row>
    <row r="1462" spans="1:7" x14ac:dyDescent="0.25">
      <c r="A1462" s="39"/>
      <c r="E1462" s="54"/>
      <c r="F1462" s="2"/>
      <c r="G1462"/>
    </row>
    <row r="1463" spans="1:7" x14ac:dyDescent="0.25">
      <c r="A1463" s="39"/>
      <c r="E1463" s="54"/>
      <c r="F1463" s="2"/>
      <c r="G1463"/>
    </row>
    <row r="1464" spans="1:7" x14ac:dyDescent="0.25">
      <c r="A1464" s="39"/>
      <c r="E1464" s="54"/>
      <c r="F1464" s="2"/>
      <c r="G1464"/>
    </row>
    <row r="1465" spans="1:7" x14ac:dyDescent="0.25">
      <c r="A1465" s="39"/>
      <c r="E1465" s="54"/>
      <c r="F1465" s="2"/>
      <c r="G1465"/>
    </row>
    <row r="1466" spans="1:7" x14ac:dyDescent="0.25">
      <c r="A1466" s="39"/>
      <c r="E1466" s="54"/>
      <c r="F1466" s="2"/>
      <c r="G1466"/>
    </row>
    <row r="1467" spans="1:7" x14ac:dyDescent="0.25">
      <c r="A1467" s="39"/>
      <c r="E1467" s="54"/>
      <c r="F1467" s="2"/>
      <c r="G1467"/>
    </row>
    <row r="1468" spans="1:7" x14ac:dyDescent="0.25">
      <c r="A1468" s="39"/>
      <c r="E1468" s="54"/>
      <c r="F1468" s="2"/>
      <c r="G1468"/>
    </row>
    <row r="1469" spans="1:7" x14ac:dyDescent="0.25">
      <c r="A1469" s="39"/>
      <c r="F1469" s="2"/>
      <c r="G1469"/>
    </row>
    <row r="1470" spans="1:7" x14ac:dyDescent="0.25">
      <c r="A1470" s="39"/>
      <c r="F1470" s="2"/>
      <c r="G1470"/>
    </row>
    <row r="1471" spans="1:7" x14ac:dyDescent="0.25">
      <c r="A1471" s="39"/>
      <c r="F1471" s="2"/>
      <c r="G1471"/>
    </row>
    <row r="1472" spans="1:7" x14ac:dyDescent="0.25">
      <c r="A1472" s="39"/>
      <c r="F1472" s="2"/>
      <c r="G1472"/>
    </row>
    <row r="1473" spans="1:7" x14ac:dyDescent="0.25">
      <c r="A1473" s="39"/>
      <c r="F1473" s="2"/>
      <c r="G1473"/>
    </row>
    <row r="1474" spans="1:7" x14ac:dyDescent="0.25">
      <c r="A1474" s="39"/>
      <c r="F1474" s="2"/>
      <c r="G1474"/>
    </row>
    <row r="1475" spans="1:7" x14ac:dyDescent="0.25">
      <c r="A1475" s="39"/>
      <c r="F1475" s="2"/>
      <c r="G1475"/>
    </row>
    <row r="1476" spans="1:7" x14ac:dyDescent="0.25">
      <c r="A1476" s="39"/>
      <c r="F1476" s="2"/>
      <c r="G1476"/>
    </row>
    <row r="1477" spans="1:7" x14ac:dyDescent="0.25">
      <c r="A1477" s="39"/>
      <c r="F1477" s="2"/>
      <c r="G1477"/>
    </row>
    <row r="1478" spans="1:7" x14ac:dyDescent="0.25">
      <c r="A1478" s="39"/>
      <c r="F1478" s="2"/>
      <c r="G1478"/>
    </row>
    <row r="1479" spans="1:7" x14ac:dyDescent="0.25">
      <c r="A1479" s="39"/>
      <c r="F1479" s="2"/>
      <c r="G1479"/>
    </row>
    <row r="1480" spans="1:7" x14ac:dyDescent="0.25">
      <c r="A1480" s="48"/>
      <c r="E1480" s="54"/>
      <c r="F1480"/>
      <c r="G1480"/>
    </row>
    <row r="1481" spans="1:7" x14ac:dyDescent="0.25">
      <c r="A1481" s="48"/>
      <c r="E1481" s="54"/>
      <c r="F1481"/>
      <c r="G1481"/>
    </row>
    <row r="1482" spans="1:7" x14ac:dyDescent="0.25">
      <c r="A1482" s="48"/>
      <c r="E1482" s="54"/>
      <c r="F1482"/>
      <c r="G1482"/>
    </row>
    <row r="1483" spans="1:7" x14ac:dyDescent="0.25">
      <c r="A1483" s="48"/>
      <c r="E1483" s="54"/>
      <c r="F1483"/>
      <c r="G1483"/>
    </row>
    <row r="1484" spans="1:7" x14ac:dyDescent="0.25">
      <c r="A1484" s="48"/>
      <c r="E1484" s="54"/>
      <c r="F1484"/>
      <c r="G1484"/>
    </row>
    <row r="1485" spans="1:7" x14ac:dyDescent="0.25">
      <c r="A1485" s="48"/>
      <c r="E1485" s="54"/>
      <c r="F1485"/>
      <c r="G1485"/>
    </row>
    <row r="1486" spans="1:7" x14ac:dyDescent="0.25">
      <c r="A1486" s="48"/>
      <c r="E1486" s="54"/>
      <c r="F1486"/>
      <c r="G1486"/>
    </row>
    <row r="1487" spans="1:7" x14ac:dyDescent="0.25">
      <c r="A1487" s="48"/>
      <c r="E1487" s="54"/>
      <c r="F1487"/>
      <c r="G1487"/>
    </row>
    <row r="1488" spans="1:7" x14ac:dyDescent="0.25">
      <c r="A1488" s="48"/>
      <c r="E1488" s="54"/>
      <c r="F1488"/>
      <c r="G1488"/>
    </row>
    <row r="1489" spans="1:7" x14ac:dyDescent="0.25">
      <c r="A1489" s="48"/>
      <c r="E1489" s="54"/>
      <c r="F1489"/>
      <c r="G1489"/>
    </row>
    <row r="1490" spans="1:7" x14ac:dyDescent="0.25">
      <c r="A1490" s="48"/>
      <c r="E1490" s="54"/>
      <c r="F1490"/>
      <c r="G1490"/>
    </row>
    <row r="1491" spans="1:7" x14ac:dyDescent="0.25">
      <c r="A1491" s="48"/>
      <c r="E1491" s="54"/>
      <c r="F1491"/>
      <c r="G1491"/>
    </row>
    <row r="1492" spans="1:7" x14ac:dyDescent="0.25">
      <c r="A1492" s="48"/>
      <c r="E1492" s="54"/>
      <c r="F1492"/>
      <c r="G1492"/>
    </row>
    <row r="1493" spans="1:7" x14ac:dyDescent="0.25">
      <c r="A1493" s="48"/>
      <c r="E1493" s="54"/>
      <c r="F1493"/>
      <c r="G1493"/>
    </row>
    <row r="1494" spans="1:7" x14ac:dyDescent="0.25">
      <c r="A1494" s="48"/>
      <c r="E1494" s="54"/>
      <c r="F1494"/>
      <c r="G1494"/>
    </row>
    <row r="1495" spans="1:7" x14ac:dyDescent="0.25">
      <c r="A1495" s="48"/>
      <c r="E1495" s="54"/>
      <c r="F1495"/>
      <c r="G1495"/>
    </row>
    <row r="1496" spans="1:7" x14ac:dyDescent="0.25">
      <c r="A1496" s="48"/>
      <c r="E1496" s="54"/>
      <c r="F1496"/>
      <c r="G1496"/>
    </row>
    <row r="1497" spans="1:7" x14ac:dyDescent="0.25">
      <c r="A1497" s="48"/>
      <c r="E1497" s="54"/>
      <c r="F1497"/>
      <c r="G1497"/>
    </row>
    <row r="1498" spans="1:7" x14ac:dyDescent="0.25">
      <c r="A1498" s="48"/>
      <c r="E1498" s="54"/>
      <c r="F1498"/>
      <c r="G1498"/>
    </row>
    <row r="1499" spans="1:7" x14ac:dyDescent="0.25">
      <c r="A1499" s="48"/>
      <c r="E1499" s="54"/>
      <c r="F1499"/>
      <c r="G1499"/>
    </row>
    <row r="1500" spans="1:7" x14ac:dyDescent="0.25">
      <c r="A1500" s="48"/>
      <c r="E1500" s="54"/>
      <c r="F1500"/>
      <c r="G1500"/>
    </row>
    <row r="1501" spans="1:7" x14ac:dyDescent="0.25">
      <c r="A1501" s="48"/>
      <c r="E1501" s="54"/>
      <c r="F1501"/>
      <c r="G1501"/>
    </row>
    <row r="1502" spans="1:7" x14ac:dyDescent="0.25">
      <c r="A1502" s="48"/>
      <c r="E1502" s="54"/>
      <c r="F1502"/>
      <c r="G1502"/>
    </row>
    <row r="1503" spans="1:7" x14ac:dyDescent="0.25">
      <c r="A1503" s="48"/>
      <c r="E1503" s="54"/>
      <c r="F1503"/>
      <c r="G1503"/>
    </row>
    <row r="1504" spans="1:7" x14ac:dyDescent="0.25">
      <c r="A1504" s="48"/>
      <c r="E1504" s="54"/>
      <c r="F1504"/>
      <c r="G1504"/>
    </row>
    <row r="1505" spans="1:7" x14ac:dyDescent="0.25">
      <c r="A1505" s="48"/>
      <c r="E1505" s="54"/>
      <c r="F1505"/>
      <c r="G1505"/>
    </row>
    <row r="1506" spans="1:7" x14ac:dyDescent="0.25">
      <c r="A1506" s="48"/>
      <c r="E1506" s="54"/>
      <c r="F1506"/>
      <c r="G1506"/>
    </row>
    <row r="1507" spans="1:7" x14ac:dyDescent="0.25">
      <c r="A1507" s="48"/>
      <c r="E1507" s="54"/>
      <c r="F1507"/>
      <c r="G1507"/>
    </row>
    <row r="1508" spans="1:7" x14ac:dyDescent="0.25">
      <c r="A1508" s="48"/>
      <c r="E1508" s="54"/>
      <c r="F1508"/>
      <c r="G1508"/>
    </row>
    <row r="1509" spans="1:7" x14ac:dyDescent="0.25">
      <c r="A1509" s="48"/>
      <c r="E1509" s="54"/>
      <c r="F1509"/>
      <c r="G1509"/>
    </row>
    <row r="1510" spans="1:7" x14ac:dyDescent="0.25">
      <c r="A1510" s="48"/>
      <c r="E1510" s="54"/>
      <c r="F1510"/>
      <c r="G1510"/>
    </row>
    <row r="1511" spans="1:7" x14ac:dyDescent="0.25">
      <c r="A1511" s="48"/>
      <c r="E1511" s="54"/>
      <c r="F1511"/>
      <c r="G1511"/>
    </row>
    <row r="1512" spans="1:7" x14ac:dyDescent="0.25">
      <c r="A1512" s="48"/>
      <c r="E1512" s="54"/>
      <c r="F1512"/>
      <c r="G1512"/>
    </row>
    <row r="1513" spans="1:7" x14ac:dyDescent="0.25">
      <c r="A1513" s="48"/>
      <c r="E1513" s="54"/>
      <c r="F1513"/>
      <c r="G1513"/>
    </row>
    <row r="1514" spans="1:7" x14ac:dyDescent="0.25">
      <c r="A1514" s="48"/>
      <c r="E1514" s="54"/>
      <c r="F1514"/>
      <c r="G1514"/>
    </row>
    <row r="1515" spans="1:7" x14ac:dyDescent="0.25">
      <c r="A1515" s="48"/>
      <c r="E1515" s="54"/>
      <c r="F1515"/>
      <c r="G1515"/>
    </row>
    <row r="1516" spans="1:7" x14ac:dyDescent="0.25">
      <c r="A1516" s="48"/>
      <c r="E1516" s="54"/>
      <c r="F1516"/>
      <c r="G1516"/>
    </row>
    <row r="1517" spans="1:7" x14ac:dyDescent="0.25">
      <c r="A1517" s="48"/>
      <c r="E1517" s="54"/>
      <c r="F1517"/>
      <c r="G1517"/>
    </row>
    <row r="1518" spans="1:7" x14ac:dyDescent="0.25">
      <c r="A1518" s="48"/>
      <c r="E1518" s="54"/>
      <c r="F1518"/>
      <c r="G1518"/>
    </row>
    <row r="1519" spans="1:7" x14ac:dyDescent="0.25">
      <c r="A1519" s="48"/>
      <c r="E1519" s="54"/>
      <c r="F1519"/>
      <c r="G1519"/>
    </row>
    <row r="1520" spans="1:7" x14ac:dyDescent="0.25">
      <c r="A1520" s="48"/>
      <c r="E1520" s="54"/>
      <c r="F1520"/>
      <c r="G1520"/>
    </row>
    <row r="1521" spans="1:7" x14ac:dyDescent="0.25">
      <c r="A1521" s="48"/>
      <c r="E1521" s="54"/>
      <c r="F1521"/>
      <c r="G1521"/>
    </row>
    <row r="1522" spans="1:7" x14ac:dyDescent="0.25">
      <c r="A1522" s="48"/>
      <c r="E1522" s="54"/>
      <c r="F1522"/>
      <c r="G1522"/>
    </row>
    <row r="1523" spans="1:7" x14ac:dyDescent="0.25">
      <c r="A1523" s="48"/>
      <c r="E1523" s="54"/>
      <c r="F1523"/>
      <c r="G1523"/>
    </row>
    <row r="1524" spans="1:7" x14ac:dyDescent="0.25">
      <c r="A1524" s="48"/>
      <c r="E1524" s="54"/>
      <c r="F1524"/>
      <c r="G1524"/>
    </row>
    <row r="1525" spans="1:7" x14ac:dyDescent="0.25">
      <c r="A1525" s="48"/>
      <c r="E1525" s="54"/>
      <c r="F1525"/>
      <c r="G1525"/>
    </row>
    <row r="1526" spans="1:7" x14ac:dyDescent="0.25">
      <c r="A1526" s="48"/>
      <c r="E1526" s="54"/>
      <c r="F1526"/>
      <c r="G1526"/>
    </row>
    <row r="1527" spans="1:7" x14ac:dyDescent="0.25">
      <c r="A1527" s="48"/>
      <c r="E1527" s="54"/>
      <c r="F1527"/>
      <c r="G1527"/>
    </row>
    <row r="1528" spans="1:7" x14ac:dyDescent="0.25">
      <c r="A1528" s="48"/>
      <c r="E1528" s="54"/>
      <c r="F1528"/>
      <c r="G1528"/>
    </row>
    <row r="1529" spans="1:7" x14ac:dyDescent="0.25">
      <c r="A1529" s="48"/>
      <c r="E1529" s="54"/>
      <c r="F1529"/>
      <c r="G1529"/>
    </row>
    <row r="1530" spans="1:7" x14ac:dyDescent="0.25">
      <c r="A1530" s="48"/>
      <c r="E1530" s="54"/>
      <c r="F1530"/>
      <c r="G1530"/>
    </row>
    <row r="1531" spans="1:7" x14ac:dyDescent="0.25">
      <c r="A1531" s="48"/>
      <c r="E1531" s="54"/>
      <c r="F1531"/>
      <c r="G1531"/>
    </row>
    <row r="1532" spans="1:7" x14ac:dyDescent="0.25">
      <c r="A1532" s="48"/>
      <c r="E1532" s="54"/>
      <c r="F1532"/>
      <c r="G1532"/>
    </row>
    <row r="1533" spans="1:7" x14ac:dyDescent="0.25">
      <c r="A1533" s="48"/>
      <c r="E1533" s="54"/>
      <c r="F1533"/>
      <c r="G1533"/>
    </row>
    <row r="1534" spans="1:7" x14ac:dyDescent="0.25">
      <c r="A1534" s="48"/>
      <c r="E1534" s="54"/>
      <c r="F1534"/>
      <c r="G1534"/>
    </row>
    <row r="1535" spans="1:7" x14ac:dyDescent="0.25">
      <c r="A1535" s="48"/>
      <c r="E1535" s="54"/>
      <c r="F1535"/>
      <c r="G1535"/>
    </row>
    <row r="1536" spans="1:7" x14ac:dyDescent="0.25">
      <c r="A1536" s="48"/>
      <c r="E1536" s="54"/>
      <c r="F1536"/>
      <c r="G1536"/>
    </row>
    <row r="1537" spans="1:7" x14ac:dyDescent="0.25">
      <c r="A1537" s="48"/>
      <c r="E1537" s="54"/>
      <c r="F1537"/>
      <c r="G1537"/>
    </row>
    <row r="1538" spans="1:7" x14ac:dyDescent="0.25">
      <c r="A1538" s="48"/>
      <c r="E1538" s="54"/>
      <c r="F1538"/>
      <c r="G1538"/>
    </row>
    <row r="1539" spans="1:7" x14ac:dyDescent="0.25">
      <c r="A1539" s="48"/>
      <c r="E1539" s="54"/>
      <c r="F1539"/>
      <c r="G1539"/>
    </row>
    <row r="1540" spans="1:7" x14ac:dyDescent="0.25">
      <c r="A1540" s="48"/>
      <c r="E1540" s="54"/>
      <c r="F1540"/>
      <c r="G1540"/>
    </row>
    <row r="1541" spans="1:7" x14ac:dyDescent="0.25">
      <c r="A1541" s="48"/>
      <c r="E1541" s="54"/>
      <c r="F1541"/>
      <c r="G1541"/>
    </row>
    <row r="1542" spans="1:7" x14ac:dyDescent="0.25">
      <c r="A1542" s="48"/>
      <c r="E1542" s="54"/>
      <c r="F1542"/>
      <c r="G1542"/>
    </row>
    <row r="1543" spans="1:7" x14ac:dyDescent="0.25">
      <c r="A1543" s="48"/>
      <c r="E1543" s="54"/>
      <c r="F1543"/>
      <c r="G1543"/>
    </row>
    <row r="1544" spans="1:7" x14ac:dyDescent="0.25">
      <c r="A1544" s="48"/>
      <c r="E1544" s="54"/>
      <c r="F1544"/>
      <c r="G1544"/>
    </row>
    <row r="1545" spans="1:7" x14ac:dyDescent="0.25">
      <c r="A1545" s="48"/>
      <c r="E1545" s="54"/>
      <c r="F1545"/>
      <c r="G1545"/>
    </row>
    <row r="1546" spans="1:7" x14ac:dyDescent="0.25">
      <c r="A1546" s="48"/>
      <c r="E1546" s="54"/>
      <c r="F1546"/>
      <c r="G1546"/>
    </row>
    <row r="1547" spans="1:7" x14ac:dyDescent="0.25">
      <c r="A1547" s="48"/>
      <c r="E1547" s="54"/>
      <c r="F1547"/>
      <c r="G1547"/>
    </row>
    <row r="1548" spans="1:7" x14ac:dyDescent="0.25">
      <c r="A1548" s="39"/>
      <c r="G1548"/>
    </row>
    <row r="1549" spans="1:7" x14ac:dyDescent="0.25">
      <c r="A1549" s="39"/>
      <c r="G1549"/>
    </row>
    <row r="1550" spans="1:7" x14ac:dyDescent="0.25">
      <c r="A1550" s="39"/>
      <c r="G1550"/>
    </row>
    <row r="1551" spans="1:7" x14ac:dyDescent="0.25">
      <c r="A1551" s="39"/>
      <c r="G1551"/>
    </row>
    <row r="1552" spans="1:7" x14ac:dyDescent="0.25">
      <c r="A1552" s="39"/>
      <c r="G1552"/>
    </row>
    <row r="1553" spans="1:7" x14ac:dyDescent="0.25">
      <c r="A1553" s="39"/>
      <c r="G1553"/>
    </row>
    <row r="1554" spans="1:7" x14ac:dyDescent="0.25">
      <c r="A1554" s="48"/>
      <c r="E1554" s="54"/>
      <c r="F1554"/>
      <c r="G1554"/>
    </row>
    <row r="1555" spans="1:7" x14ac:dyDescent="0.25">
      <c r="A1555" s="48"/>
      <c r="E1555" s="54"/>
      <c r="F1555"/>
      <c r="G1555"/>
    </row>
    <row r="1556" spans="1:7" x14ac:dyDescent="0.25">
      <c r="A1556" s="48"/>
      <c r="E1556" s="54"/>
      <c r="F1556"/>
      <c r="G1556"/>
    </row>
    <row r="1557" spans="1:7" x14ac:dyDescent="0.25">
      <c r="A1557" s="48"/>
      <c r="E1557" s="54"/>
      <c r="F1557"/>
      <c r="G1557"/>
    </row>
    <row r="1558" spans="1:7" x14ac:dyDescent="0.25">
      <c r="A1558" s="48"/>
      <c r="E1558" s="54"/>
      <c r="F1558"/>
      <c r="G1558"/>
    </row>
    <row r="1559" spans="1:7" x14ac:dyDescent="0.25">
      <c r="A1559" s="48"/>
      <c r="E1559" s="54"/>
      <c r="F1559"/>
      <c r="G1559"/>
    </row>
    <row r="1560" spans="1:7" x14ac:dyDescent="0.25">
      <c r="A1560" s="48"/>
      <c r="E1560" s="54"/>
      <c r="F1560"/>
      <c r="G1560"/>
    </row>
    <row r="1561" spans="1:7" x14ac:dyDescent="0.25">
      <c r="A1561" s="48"/>
      <c r="E1561" s="54"/>
      <c r="F1561"/>
      <c r="G1561"/>
    </row>
    <row r="1562" spans="1:7" x14ac:dyDescent="0.25">
      <c r="A1562" s="48"/>
      <c r="E1562" s="54"/>
      <c r="F1562"/>
      <c r="G1562"/>
    </row>
    <row r="1563" spans="1:7" x14ac:dyDescent="0.25">
      <c r="A1563" s="48"/>
      <c r="E1563" s="54"/>
      <c r="F1563"/>
      <c r="G1563"/>
    </row>
    <row r="1564" spans="1:7" x14ac:dyDescent="0.25">
      <c r="A1564" s="48"/>
      <c r="E1564" s="54"/>
      <c r="F1564"/>
      <c r="G1564"/>
    </row>
    <row r="1565" spans="1:7" x14ac:dyDescent="0.25">
      <c r="A1565" s="48"/>
      <c r="E1565" s="54"/>
      <c r="F1565"/>
      <c r="G1565"/>
    </row>
    <row r="1566" spans="1:7" x14ac:dyDescent="0.25">
      <c r="A1566" s="48"/>
      <c r="E1566" s="54"/>
      <c r="F1566"/>
      <c r="G1566"/>
    </row>
    <row r="1567" spans="1:7" x14ac:dyDescent="0.25">
      <c r="A1567" s="48"/>
      <c r="E1567" s="54"/>
      <c r="F1567"/>
      <c r="G1567"/>
    </row>
    <row r="1568" spans="1:7" x14ac:dyDescent="0.25">
      <c r="A1568" s="48"/>
      <c r="E1568" s="54"/>
      <c r="F1568"/>
      <c r="G1568"/>
    </row>
    <row r="1569" spans="1:7" x14ac:dyDescent="0.25">
      <c r="A1569" s="48"/>
      <c r="E1569" s="54"/>
      <c r="F1569"/>
      <c r="G1569"/>
    </row>
    <row r="1570" spans="1:7" x14ac:dyDescent="0.25">
      <c r="A1570" s="48"/>
      <c r="E1570" s="54"/>
      <c r="F1570"/>
      <c r="G1570"/>
    </row>
    <row r="1571" spans="1:7" x14ac:dyDescent="0.25">
      <c r="A1571" s="48"/>
      <c r="E1571" s="54"/>
      <c r="F1571"/>
      <c r="G1571"/>
    </row>
    <row r="1572" spans="1:7" x14ac:dyDescent="0.25">
      <c r="A1572" s="48"/>
      <c r="E1572" s="54"/>
      <c r="F1572"/>
      <c r="G1572"/>
    </row>
    <row r="1573" spans="1:7" x14ac:dyDescent="0.25">
      <c r="A1573" s="48"/>
      <c r="E1573" s="54"/>
      <c r="F1573"/>
      <c r="G1573"/>
    </row>
    <row r="1574" spans="1:7" x14ac:dyDescent="0.25">
      <c r="A1574" s="48"/>
      <c r="E1574" s="54"/>
      <c r="F1574"/>
      <c r="G1574"/>
    </row>
    <row r="1575" spans="1:7" x14ac:dyDescent="0.25">
      <c r="A1575" s="48"/>
      <c r="E1575" s="54"/>
      <c r="F1575"/>
      <c r="G1575"/>
    </row>
    <row r="1576" spans="1:7" x14ac:dyDescent="0.25">
      <c r="A1576" s="48"/>
      <c r="E1576" s="54"/>
      <c r="F1576"/>
      <c r="G1576"/>
    </row>
    <row r="1577" spans="1:7" x14ac:dyDescent="0.25">
      <c r="A1577" s="48"/>
      <c r="E1577" s="54"/>
      <c r="F1577"/>
      <c r="G1577"/>
    </row>
    <row r="1578" spans="1:7" x14ac:dyDescent="0.25">
      <c r="A1578" s="48"/>
      <c r="E1578" s="54"/>
      <c r="F1578"/>
      <c r="G1578"/>
    </row>
    <row r="1579" spans="1:7" x14ac:dyDescent="0.25">
      <c r="A1579" s="48"/>
      <c r="E1579" s="54"/>
      <c r="F1579"/>
      <c r="G1579"/>
    </row>
    <row r="1580" spans="1:7" x14ac:dyDescent="0.25">
      <c r="A1580" s="48"/>
      <c r="E1580" s="54"/>
      <c r="F1580"/>
      <c r="G1580"/>
    </row>
    <row r="1581" spans="1:7" x14ac:dyDescent="0.25">
      <c r="A1581" s="48"/>
      <c r="E1581" s="54"/>
      <c r="F1581"/>
      <c r="G1581"/>
    </row>
    <row r="1582" spans="1:7" x14ac:dyDescent="0.25">
      <c r="A1582" s="48"/>
      <c r="E1582" s="54"/>
      <c r="F1582"/>
      <c r="G1582"/>
    </row>
    <row r="1583" spans="1:7" x14ac:dyDescent="0.25">
      <c r="A1583" s="48"/>
      <c r="E1583" s="54"/>
      <c r="F1583"/>
      <c r="G1583"/>
    </row>
    <row r="1584" spans="1:7" x14ac:dyDescent="0.25">
      <c r="A1584" s="48"/>
      <c r="E1584" s="54"/>
      <c r="F1584"/>
      <c r="G1584"/>
    </row>
    <row r="1585" spans="1:12" x14ac:dyDescent="0.25">
      <c r="A1585" s="48"/>
      <c r="E1585" s="54"/>
      <c r="F1585"/>
      <c r="G1585"/>
    </row>
    <row r="1586" spans="1:12" x14ac:dyDescent="0.25">
      <c r="A1586" s="48"/>
      <c r="E1586" s="54"/>
      <c r="F1586"/>
      <c r="G1586"/>
    </row>
    <row r="1587" spans="1:12" x14ac:dyDescent="0.25">
      <c r="A1587" s="48"/>
      <c r="E1587" s="54"/>
      <c r="F1587"/>
      <c r="G1587"/>
    </row>
    <row r="1588" spans="1:12" x14ac:dyDescent="0.25">
      <c r="A1588" s="48"/>
      <c r="E1588" s="54"/>
      <c r="F1588"/>
      <c r="G1588"/>
    </row>
    <row r="1589" spans="1:12" x14ac:dyDescent="0.25">
      <c r="A1589" s="48"/>
      <c r="E1589" s="54"/>
      <c r="F1589"/>
      <c r="G1589"/>
    </row>
    <row r="1590" spans="1:12" x14ac:dyDescent="0.25">
      <c r="A1590" s="48"/>
      <c r="E1590" s="54"/>
      <c r="F1590"/>
      <c r="G1590"/>
    </row>
    <row r="1591" spans="1:12" x14ac:dyDescent="0.25">
      <c r="A1591" s="48"/>
      <c r="E1591" s="54"/>
      <c r="F1591"/>
      <c r="G1591"/>
    </row>
    <row r="1592" spans="1:12" x14ac:dyDescent="0.25">
      <c r="A1592" s="48"/>
      <c r="E1592" s="54"/>
      <c r="F1592"/>
      <c r="G1592"/>
      <c r="L1592" s="4"/>
    </row>
    <row r="1593" spans="1:12" x14ac:dyDescent="0.25">
      <c r="A1593" s="48"/>
      <c r="E1593" s="54"/>
      <c r="F1593"/>
      <c r="G1593"/>
      <c r="L1593" s="5"/>
    </row>
    <row r="1594" spans="1:12" x14ac:dyDescent="0.25">
      <c r="A1594" s="48"/>
      <c r="E1594" s="54"/>
      <c r="F1594"/>
      <c r="G1594"/>
    </row>
    <row r="1595" spans="1:12" x14ac:dyDescent="0.25">
      <c r="A1595" s="48"/>
      <c r="E1595" s="54"/>
      <c r="F1595"/>
      <c r="G1595"/>
    </row>
    <row r="1596" spans="1:12" x14ac:dyDescent="0.25">
      <c r="A1596" s="48"/>
      <c r="E1596" s="54"/>
      <c r="F1596"/>
      <c r="G1596"/>
    </row>
    <row r="1597" spans="1:12" x14ac:dyDescent="0.25">
      <c r="A1597" s="48"/>
      <c r="E1597" s="54"/>
      <c r="F1597"/>
      <c r="G1597"/>
    </row>
    <row r="1598" spans="1:12" x14ac:dyDescent="0.25">
      <c r="A1598" s="48"/>
      <c r="E1598" s="54"/>
      <c r="F1598"/>
      <c r="G1598"/>
    </row>
    <row r="1599" spans="1:12" x14ac:dyDescent="0.25">
      <c r="A1599" s="48"/>
      <c r="E1599" s="54"/>
      <c r="F1599"/>
      <c r="G1599"/>
    </row>
    <row r="1600" spans="1:12" x14ac:dyDescent="0.25">
      <c r="A1600" s="48"/>
      <c r="E1600" s="54"/>
      <c r="F1600"/>
      <c r="G1600"/>
    </row>
    <row r="1601" spans="1:7" x14ac:dyDescent="0.25">
      <c r="A1601" s="48"/>
      <c r="E1601" s="54"/>
      <c r="F1601"/>
      <c r="G1601"/>
    </row>
    <row r="1602" spans="1:7" x14ac:dyDescent="0.25">
      <c r="A1602" s="48"/>
      <c r="E1602" s="54"/>
      <c r="F1602"/>
      <c r="G1602"/>
    </row>
    <row r="1603" spans="1:7" x14ac:dyDescent="0.25">
      <c r="A1603" s="48"/>
      <c r="E1603" s="54"/>
      <c r="F1603"/>
      <c r="G1603"/>
    </row>
    <row r="1604" spans="1:7" x14ac:dyDescent="0.25">
      <c r="A1604" s="48"/>
      <c r="E1604" s="54"/>
      <c r="F1604"/>
      <c r="G1604"/>
    </row>
    <row r="1605" spans="1:7" x14ac:dyDescent="0.25">
      <c r="A1605" s="48"/>
      <c r="E1605" s="54"/>
      <c r="F1605"/>
      <c r="G1605"/>
    </row>
    <row r="1606" spans="1:7" x14ac:dyDescent="0.25">
      <c r="A1606" s="48"/>
      <c r="E1606" s="54"/>
      <c r="F1606"/>
      <c r="G1606"/>
    </row>
    <row r="1607" spans="1:7" x14ac:dyDescent="0.25">
      <c r="A1607" s="48"/>
      <c r="E1607" s="54"/>
      <c r="F1607"/>
      <c r="G1607"/>
    </row>
    <row r="1608" spans="1:7" x14ac:dyDescent="0.25">
      <c r="A1608" s="48"/>
      <c r="E1608" s="54"/>
      <c r="F1608"/>
      <c r="G1608"/>
    </row>
    <row r="1609" spans="1:7" x14ac:dyDescent="0.25">
      <c r="A1609" s="48"/>
      <c r="E1609" s="54"/>
      <c r="F1609"/>
      <c r="G1609"/>
    </row>
    <row r="1610" spans="1:7" x14ac:dyDescent="0.25">
      <c r="A1610" s="48"/>
      <c r="E1610" s="54"/>
      <c r="F1610"/>
      <c r="G1610"/>
    </row>
    <row r="1611" spans="1:7" x14ac:dyDescent="0.25">
      <c r="A1611" s="48"/>
      <c r="E1611" s="54"/>
      <c r="F1611"/>
      <c r="G1611"/>
    </row>
    <row r="1612" spans="1:7" x14ac:dyDescent="0.25">
      <c r="A1612" s="48"/>
      <c r="E1612" s="54"/>
      <c r="F1612"/>
      <c r="G1612"/>
    </row>
    <row r="1613" spans="1:7" x14ac:dyDescent="0.25">
      <c r="A1613" s="48"/>
      <c r="E1613" s="54"/>
      <c r="F1613"/>
      <c r="G1613"/>
    </row>
    <row r="1614" spans="1:7" x14ac:dyDescent="0.25">
      <c r="A1614" s="48"/>
      <c r="E1614" s="54"/>
      <c r="F1614"/>
      <c r="G1614"/>
    </row>
    <row r="1615" spans="1:7" x14ac:dyDescent="0.25">
      <c r="A1615" s="48"/>
      <c r="E1615" s="54"/>
      <c r="F1615"/>
      <c r="G1615"/>
    </row>
    <row r="1616" spans="1:7" x14ac:dyDescent="0.25">
      <c r="A1616" s="48"/>
      <c r="E1616" s="54"/>
      <c r="F1616"/>
      <c r="G1616"/>
    </row>
    <row r="1617" spans="1:7" x14ac:dyDescent="0.25">
      <c r="A1617" s="48"/>
      <c r="E1617" s="54"/>
      <c r="F1617"/>
      <c r="G1617"/>
    </row>
    <row r="1618" spans="1:7" x14ac:dyDescent="0.25">
      <c r="A1618" s="48"/>
      <c r="E1618" s="54"/>
      <c r="F1618"/>
      <c r="G1618"/>
    </row>
    <row r="1619" spans="1:7" x14ac:dyDescent="0.25">
      <c r="A1619" s="48"/>
      <c r="E1619" s="54"/>
      <c r="F1619"/>
      <c r="G1619"/>
    </row>
    <row r="1620" spans="1:7" x14ac:dyDescent="0.25">
      <c r="A1620" s="39"/>
      <c r="F1620" s="2"/>
      <c r="G1620"/>
    </row>
    <row r="1621" spans="1:7" x14ac:dyDescent="0.25">
      <c r="A1621" s="39"/>
      <c r="F1621" s="2"/>
      <c r="G1621"/>
    </row>
    <row r="1622" spans="1:7" x14ac:dyDescent="0.25">
      <c r="A1622" s="39"/>
      <c r="F1622" s="2"/>
      <c r="G1622"/>
    </row>
    <row r="1623" spans="1:7" x14ac:dyDescent="0.25">
      <c r="A1623" s="39"/>
      <c r="F1623" s="2"/>
      <c r="G1623"/>
    </row>
    <row r="1624" spans="1:7" x14ac:dyDescent="0.25">
      <c r="A1624" s="39"/>
      <c r="F1624" s="2"/>
      <c r="G1624"/>
    </row>
    <row r="1625" spans="1:7" x14ac:dyDescent="0.25">
      <c r="A1625" s="39"/>
      <c r="F1625" s="2"/>
      <c r="G1625"/>
    </row>
    <row r="1626" spans="1:7" x14ac:dyDescent="0.25">
      <c r="A1626" s="39"/>
      <c r="F1626" s="2"/>
      <c r="G1626"/>
    </row>
    <row r="1627" spans="1:7" x14ac:dyDescent="0.25">
      <c r="A1627" s="39"/>
      <c r="F1627" s="2"/>
      <c r="G1627"/>
    </row>
    <row r="1628" spans="1:7" x14ac:dyDescent="0.25">
      <c r="A1628" s="39"/>
      <c r="F1628" s="2"/>
      <c r="G1628"/>
    </row>
    <row r="1629" spans="1:7" x14ac:dyDescent="0.25">
      <c r="A1629" s="39"/>
      <c r="F1629" s="2"/>
      <c r="G1629"/>
    </row>
    <row r="1630" spans="1:7" x14ac:dyDescent="0.25">
      <c r="A1630" s="39"/>
      <c r="F1630" s="2"/>
      <c r="G1630"/>
    </row>
    <row r="1631" spans="1:7" x14ac:dyDescent="0.25">
      <c r="A1631" s="39"/>
      <c r="F1631" s="2"/>
      <c r="G1631"/>
    </row>
    <row r="1632" spans="1:7" x14ac:dyDescent="0.25">
      <c r="A1632" s="48"/>
      <c r="E1632" s="54"/>
      <c r="F1632"/>
      <c r="G1632"/>
    </row>
    <row r="1633" spans="1:7" x14ac:dyDescent="0.25">
      <c r="A1633" s="48"/>
      <c r="E1633" s="54"/>
      <c r="F1633"/>
      <c r="G1633"/>
    </row>
    <row r="1634" spans="1:7" x14ac:dyDescent="0.25">
      <c r="A1634" s="39"/>
      <c r="F1634" s="2"/>
      <c r="G1634"/>
    </row>
    <row r="1635" spans="1:7" x14ac:dyDescent="0.25">
      <c r="A1635" s="39"/>
      <c r="F1635" s="2"/>
      <c r="G1635"/>
    </row>
    <row r="1636" spans="1:7" x14ac:dyDescent="0.25">
      <c r="A1636" s="39"/>
      <c r="F1636" s="2"/>
      <c r="G1636"/>
    </row>
    <row r="1637" spans="1:7" x14ac:dyDescent="0.25">
      <c r="A1637" s="39"/>
      <c r="F1637" s="2"/>
      <c r="G1637"/>
    </row>
    <row r="1638" spans="1:7" x14ac:dyDescent="0.25">
      <c r="A1638" s="39"/>
      <c r="F1638" s="2"/>
      <c r="G1638"/>
    </row>
    <row r="1639" spans="1:7" x14ac:dyDescent="0.25">
      <c r="A1639" s="39"/>
      <c r="F1639" s="2"/>
      <c r="G1639"/>
    </row>
    <row r="1640" spans="1:7" x14ac:dyDescent="0.25">
      <c r="A1640" s="39"/>
      <c r="F1640" s="2"/>
      <c r="G1640"/>
    </row>
    <row r="1641" spans="1:7" x14ac:dyDescent="0.25">
      <c r="A1641" s="39"/>
      <c r="F1641" s="2"/>
      <c r="G1641"/>
    </row>
    <row r="1642" spans="1:7" x14ac:dyDescent="0.25">
      <c r="A1642" s="39"/>
      <c r="F1642" s="2"/>
      <c r="G1642"/>
    </row>
    <row r="1643" spans="1:7" x14ac:dyDescent="0.25">
      <c r="A1643" s="39"/>
      <c r="F1643" s="2"/>
      <c r="G1643"/>
    </row>
    <row r="1644" spans="1:7" x14ac:dyDescent="0.25">
      <c r="A1644" s="39"/>
      <c r="F1644" s="2"/>
      <c r="G1644"/>
    </row>
    <row r="1645" spans="1:7" x14ac:dyDescent="0.25">
      <c r="A1645" s="39"/>
      <c r="F1645" s="2"/>
      <c r="G1645"/>
    </row>
    <row r="1646" spans="1:7" x14ac:dyDescent="0.25">
      <c r="A1646" s="39"/>
      <c r="F1646" s="2"/>
      <c r="G1646"/>
    </row>
    <row r="1647" spans="1:7" x14ac:dyDescent="0.25">
      <c r="A1647" s="39"/>
      <c r="F1647" s="2"/>
      <c r="G1647"/>
    </row>
    <row r="1648" spans="1:7" x14ac:dyDescent="0.25">
      <c r="A1648" s="39"/>
      <c r="F1648" s="2"/>
      <c r="G1648"/>
    </row>
    <row r="1649" spans="1:7" x14ac:dyDescent="0.25">
      <c r="A1649" s="39"/>
      <c r="F1649" s="2"/>
      <c r="G1649"/>
    </row>
    <row r="1650" spans="1:7" x14ac:dyDescent="0.25">
      <c r="A1650" s="39"/>
      <c r="F1650" s="2"/>
      <c r="G1650"/>
    </row>
    <row r="1651" spans="1:7" x14ac:dyDescent="0.25">
      <c r="A1651" s="39"/>
      <c r="F1651" s="2"/>
      <c r="G1651"/>
    </row>
    <row r="1652" spans="1:7" x14ac:dyDescent="0.25">
      <c r="A1652" s="39"/>
      <c r="E1652" s="54"/>
      <c r="F1652" s="2"/>
      <c r="G1652"/>
    </row>
    <row r="1653" spans="1:7" x14ac:dyDescent="0.25">
      <c r="A1653" s="39"/>
      <c r="F1653" s="2"/>
      <c r="G1653"/>
    </row>
    <row r="1654" spans="1:7" x14ac:dyDescent="0.25">
      <c r="A1654" s="39"/>
      <c r="F1654" s="2"/>
      <c r="G1654"/>
    </row>
    <row r="1655" spans="1:7" x14ac:dyDescent="0.25">
      <c r="A1655" s="39"/>
      <c r="E1655" s="54"/>
      <c r="F1655" s="2"/>
      <c r="G1655"/>
    </row>
    <row r="1656" spans="1:7" x14ac:dyDescent="0.25">
      <c r="A1656" s="39"/>
      <c r="E1656" s="54"/>
      <c r="F1656" s="2"/>
      <c r="G1656"/>
    </row>
    <row r="1657" spans="1:7" x14ac:dyDescent="0.25">
      <c r="A1657" s="39"/>
      <c r="E1657" s="54"/>
      <c r="F1657" s="2"/>
      <c r="G1657"/>
    </row>
    <row r="1658" spans="1:7" x14ac:dyDescent="0.25">
      <c r="A1658" s="39"/>
      <c r="E1658" s="54"/>
      <c r="F1658" s="2"/>
      <c r="G1658"/>
    </row>
    <row r="1659" spans="1:7" x14ac:dyDescent="0.25">
      <c r="A1659" s="39"/>
      <c r="E1659" s="54"/>
      <c r="F1659" s="2"/>
      <c r="G1659"/>
    </row>
    <row r="1660" spans="1:7" x14ac:dyDescent="0.25">
      <c r="A1660" s="39"/>
      <c r="E1660" s="54"/>
      <c r="F1660" s="2"/>
      <c r="G1660"/>
    </row>
    <row r="1661" spans="1:7" x14ac:dyDescent="0.25">
      <c r="A1661" s="39"/>
      <c r="E1661" s="54"/>
      <c r="F1661" s="2"/>
      <c r="G1661"/>
    </row>
    <row r="1662" spans="1:7" x14ac:dyDescent="0.25">
      <c r="A1662" s="39"/>
      <c r="E1662" s="54"/>
      <c r="F1662" s="2"/>
      <c r="G1662"/>
    </row>
    <row r="1663" spans="1:7" x14ac:dyDescent="0.25">
      <c r="A1663" s="39"/>
      <c r="E1663" s="54"/>
      <c r="F1663" s="2"/>
      <c r="G1663"/>
    </row>
    <row r="1664" spans="1:7" x14ac:dyDescent="0.25">
      <c r="A1664" s="39"/>
      <c r="E1664" s="54"/>
      <c r="F1664" s="2"/>
      <c r="G1664"/>
    </row>
    <row r="1665" spans="1:7" x14ac:dyDescent="0.25">
      <c r="A1665" s="39"/>
      <c r="E1665" s="54"/>
      <c r="F1665" s="2"/>
      <c r="G1665"/>
    </row>
    <row r="1666" spans="1:7" x14ac:dyDescent="0.25">
      <c r="A1666" s="39"/>
      <c r="E1666" s="54"/>
      <c r="F1666" s="2"/>
      <c r="G1666"/>
    </row>
    <row r="1667" spans="1:7" x14ac:dyDescent="0.25">
      <c r="A1667" s="39"/>
      <c r="E1667" s="54"/>
      <c r="F1667" s="2"/>
      <c r="G1667"/>
    </row>
    <row r="1668" spans="1:7" x14ac:dyDescent="0.25">
      <c r="A1668" s="39"/>
      <c r="E1668" s="54"/>
      <c r="F1668" s="2"/>
      <c r="G1668"/>
    </row>
    <row r="1669" spans="1:7" x14ac:dyDescent="0.25">
      <c r="A1669" s="39"/>
      <c r="E1669" s="54"/>
      <c r="F1669" s="2"/>
      <c r="G1669"/>
    </row>
    <row r="1670" spans="1:7" x14ac:dyDescent="0.25">
      <c r="A1670" s="39"/>
      <c r="E1670" s="54"/>
      <c r="F1670" s="2"/>
      <c r="G1670"/>
    </row>
    <row r="1671" spans="1:7" x14ac:dyDescent="0.25">
      <c r="A1671" s="39"/>
      <c r="E1671" s="54"/>
      <c r="F1671" s="2"/>
      <c r="G1671"/>
    </row>
    <row r="1672" spans="1:7" x14ac:dyDescent="0.25">
      <c r="A1672" s="39"/>
      <c r="E1672" s="54"/>
      <c r="F1672" s="2"/>
      <c r="G1672"/>
    </row>
    <row r="1673" spans="1:7" x14ac:dyDescent="0.25">
      <c r="A1673" s="39"/>
      <c r="E1673" s="54"/>
      <c r="F1673" s="2"/>
      <c r="G1673"/>
    </row>
    <row r="1674" spans="1:7" x14ac:dyDescent="0.25">
      <c r="A1674" s="39"/>
      <c r="E1674" s="54"/>
      <c r="F1674" s="2"/>
      <c r="G1674"/>
    </row>
    <row r="1675" spans="1:7" x14ac:dyDescent="0.25">
      <c r="A1675" s="39"/>
      <c r="E1675" s="54"/>
      <c r="F1675" s="2"/>
      <c r="G1675"/>
    </row>
    <row r="1676" spans="1:7" x14ac:dyDescent="0.25">
      <c r="A1676" s="39"/>
      <c r="E1676" s="54"/>
      <c r="F1676" s="2"/>
      <c r="G1676"/>
    </row>
    <row r="1677" spans="1:7" x14ac:dyDescent="0.25">
      <c r="A1677" s="39"/>
      <c r="E1677" s="54"/>
      <c r="F1677" s="2"/>
      <c r="G1677"/>
    </row>
    <row r="1678" spans="1:7" x14ac:dyDescent="0.25">
      <c r="A1678" s="39"/>
      <c r="E1678" s="54"/>
      <c r="F1678" s="2"/>
      <c r="G1678"/>
    </row>
    <row r="1679" spans="1:7" x14ac:dyDescent="0.25">
      <c r="A1679" s="39"/>
      <c r="E1679" s="54"/>
      <c r="F1679" s="2"/>
      <c r="G1679"/>
    </row>
    <row r="1680" spans="1:7" x14ac:dyDescent="0.25">
      <c r="A1680" s="39"/>
      <c r="E1680" s="54"/>
      <c r="F1680" s="2"/>
      <c r="G1680"/>
    </row>
    <row r="1681" spans="1:7" x14ac:dyDescent="0.25">
      <c r="A1681" s="39"/>
      <c r="E1681" s="54"/>
      <c r="F1681" s="2"/>
      <c r="G1681"/>
    </row>
    <row r="1682" spans="1:7" x14ac:dyDescent="0.25">
      <c r="A1682" s="39"/>
      <c r="E1682" s="54"/>
      <c r="F1682" s="2"/>
      <c r="G1682"/>
    </row>
    <row r="1683" spans="1:7" x14ac:dyDescent="0.25">
      <c r="A1683" s="39"/>
      <c r="E1683" s="54"/>
      <c r="F1683" s="2"/>
      <c r="G1683"/>
    </row>
    <row r="1684" spans="1:7" x14ac:dyDescent="0.25">
      <c r="A1684" s="39"/>
      <c r="E1684" s="54"/>
      <c r="F1684" s="2"/>
      <c r="G1684"/>
    </row>
    <row r="1685" spans="1:7" x14ac:dyDescent="0.25">
      <c r="A1685" s="39"/>
      <c r="E1685" s="54"/>
      <c r="F1685" s="2"/>
      <c r="G1685"/>
    </row>
    <row r="1686" spans="1:7" x14ac:dyDescent="0.25">
      <c r="A1686" s="39"/>
      <c r="E1686" s="54"/>
      <c r="F1686" s="2"/>
      <c r="G1686"/>
    </row>
    <row r="1687" spans="1:7" x14ac:dyDescent="0.25">
      <c r="A1687" s="39"/>
      <c r="E1687" s="54"/>
      <c r="F1687" s="2"/>
      <c r="G1687"/>
    </row>
    <row r="1688" spans="1:7" x14ac:dyDescent="0.25">
      <c r="A1688" s="39"/>
      <c r="E1688" s="54"/>
      <c r="F1688" s="2"/>
      <c r="G1688"/>
    </row>
    <row r="1689" spans="1:7" x14ac:dyDescent="0.25">
      <c r="A1689" s="39"/>
      <c r="E1689" s="54"/>
      <c r="F1689" s="2"/>
      <c r="G1689"/>
    </row>
    <row r="1690" spans="1:7" x14ac:dyDescent="0.25">
      <c r="A1690" s="39"/>
      <c r="E1690" s="54"/>
      <c r="F1690" s="2"/>
      <c r="G1690"/>
    </row>
    <row r="1691" spans="1:7" x14ac:dyDescent="0.25">
      <c r="A1691" s="39"/>
      <c r="E1691" s="54"/>
      <c r="F1691" s="2"/>
      <c r="G1691"/>
    </row>
    <row r="1692" spans="1:7" x14ac:dyDescent="0.25">
      <c r="A1692" s="39"/>
      <c r="E1692" s="54"/>
      <c r="F1692" s="2"/>
      <c r="G1692"/>
    </row>
    <row r="1693" spans="1:7" x14ac:dyDescent="0.25">
      <c r="A1693" s="39"/>
      <c r="E1693" s="54"/>
      <c r="F1693" s="2"/>
      <c r="G1693"/>
    </row>
    <row r="1694" spans="1:7" x14ac:dyDescent="0.25">
      <c r="A1694" s="39"/>
      <c r="E1694" s="54"/>
      <c r="F1694" s="2"/>
      <c r="G1694"/>
    </row>
    <row r="1695" spans="1:7" x14ac:dyDescent="0.25">
      <c r="A1695" s="39"/>
      <c r="E1695" s="54"/>
      <c r="F1695" s="2"/>
      <c r="G1695"/>
    </row>
    <row r="1696" spans="1:7" x14ac:dyDescent="0.25">
      <c r="A1696" s="39"/>
      <c r="E1696" s="54"/>
      <c r="F1696" s="2"/>
      <c r="G1696"/>
    </row>
    <row r="1697" spans="1:7" x14ac:dyDescent="0.25">
      <c r="A1697" s="39"/>
      <c r="E1697" s="54"/>
      <c r="F1697" s="2"/>
      <c r="G1697"/>
    </row>
    <row r="1698" spans="1:7" x14ac:dyDescent="0.25">
      <c r="A1698" s="39"/>
      <c r="E1698" s="54"/>
      <c r="F1698" s="2"/>
      <c r="G1698"/>
    </row>
    <row r="1699" spans="1:7" x14ac:dyDescent="0.25">
      <c r="A1699" s="39"/>
      <c r="E1699" s="54"/>
      <c r="F1699" s="2"/>
      <c r="G1699"/>
    </row>
    <row r="1700" spans="1:7" x14ac:dyDescent="0.25">
      <c r="A1700" s="39"/>
      <c r="E1700" s="54"/>
      <c r="F1700" s="2"/>
      <c r="G1700"/>
    </row>
    <row r="1701" spans="1:7" x14ac:dyDescent="0.25">
      <c r="A1701" s="39"/>
      <c r="E1701" s="54"/>
      <c r="F1701" s="2"/>
      <c r="G1701"/>
    </row>
    <row r="1702" spans="1:7" x14ac:dyDescent="0.25">
      <c r="A1702" s="39"/>
      <c r="E1702" s="54"/>
      <c r="F1702" s="2"/>
      <c r="G1702"/>
    </row>
    <row r="1703" spans="1:7" x14ac:dyDescent="0.25">
      <c r="A1703" s="39"/>
      <c r="E1703" s="54"/>
      <c r="F1703" s="2"/>
      <c r="G1703"/>
    </row>
    <row r="1704" spans="1:7" x14ac:dyDescent="0.25">
      <c r="A1704" s="39"/>
      <c r="E1704" s="54"/>
      <c r="F1704" s="2"/>
      <c r="G1704"/>
    </row>
    <row r="1705" spans="1:7" x14ac:dyDescent="0.25">
      <c r="A1705" s="39"/>
      <c r="E1705" s="54"/>
      <c r="F1705" s="2"/>
      <c r="G1705"/>
    </row>
    <row r="1706" spans="1:7" x14ac:dyDescent="0.25">
      <c r="A1706" s="39"/>
      <c r="E1706" s="54"/>
      <c r="F1706" s="2"/>
      <c r="G1706"/>
    </row>
    <row r="1707" spans="1:7" x14ac:dyDescent="0.25">
      <c r="A1707" s="39"/>
      <c r="E1707" s="54"/>
      <c r="F1707" s="2"/>
      <c r="G1707"/>
    </row>
    <row r="1708" spans="1:7" x14ac:dyDescent="0.25">
      <c r="A1708" s="39"/>
      <c r="E1708" s="54"/>
      <c r="F1708" s="2"/>
      <c r="G1708"/>
    </row>
    <row r="1709" spans="1:7" x14ac:dyDescent="0.25">
      <c r="A1709" s="39"/>
      <c r="E1709" s="54"/>
      <c r="F1709" s="2"/>
      <c r="G1709"/>
    </row>
    <row r="1710" spans="1:7" x14ac:dyDescent="0.25">
      <c r="A1710" s="48"/>
      <c r="E1710" s="54"/>
      <c r="F1710"/>
      <c r="G1710"/>
    </row>
    <row r="1711" spans="1:7" x14ac:dyDescent="0.25">
      <c r="A1711" s="39"/>
      <c r="E1711" s="54"/>
      <c r="F1711" s="2"/>
      <c r="G1711"/>
    </row>
    <row r="1712" spans="1:7" x14ac:dyDescent="0.25">
      <c r="A1712" s="39"/>
      <c r="E1712" s="54"/>
      <c r="F1712" s="2"/>
      <c r="G1712"/>
    </row>
    <row r="1713" spans="1:7" x14ac:dyDescent="0.25">
      <c r="A1713" s="48"/>
      <c r="E1713" s="54"/>
      <c r="F1713"/>
      <c r="G1713"/>
    </row>
    <row r="1714" spans="1:7" x14ac:dyDescent="0.25">
      <c r="A1714" s="48"/>
      <c r="E1714" s="54"/>
      <c r="F1714"/>
      <c r="G1714"/>
    </row>
    <row r="1715" spans="1:7" x14ac:dyDescent="0.25">
      <c r="A1715" s="39"/>
      <c r="E1715" s="54"/>
      <c r="F1715" s="2"/>
      <c r="G1715"/>
    </row>
    <row r="1716" spans="1:7" x14ac:dyDescent="0.25">
      <c r="A1716" s="39"/>
      <c r="E1716" s="54"/>
      <c r="F1716" s="2"/>
      <c r="G1716"/>
    </row>
    <row r="1717" spans="1:7" x14ac:dyDescent="0.25">
      <c r="A1717" s="39"/>
      <c r="E1717" s="54"/>
      <c r="F1717" s="2"/>
      <c r="G1717"/>
    </row>
    <row r="1718" spans="1:7" x14ac:dyDescent="0.25">
      <c r="A1718" s="48"/>
      <c r="E1718" s="54"/>
      <c r="F1718"/>
      <c r="G1718"/>
    </row>
    <row r="1719" spans="1:7" x14ac:dyDescent="0.25">
      <c r="A1719" s="39"/>
      <c r="E1719" s="54"/>
      <c r="F1719" s="2"/>
      <c r="G1719"/>
    </row>
    <row r="1720" spans="1:7" x14ac:dyDescent="0.25">
      <c r="A1720" s="39"/>
      <c r="E1720" s="54"/>
      <c r="F1720" s="2"/>
      <c r="G1720"/>
    </row>
    <row r="1721" spans="1:7" x14ac:dyDescent="0.25">
      <c r="A1721" s="39"/>
      <c r="E1721" s="54"/>
      <c r="F1721" s="2"/>
      <c r="G1721"/>
    </row>
    <row r="1722" spans="1:7" x14ac:dyDescent="0.25">
      <c r="A1722" s="39"/>
      <c r="E1722" s="54"/>
      <c r="F1722" s="2"/>
      <c r="G1722"/>
    </row>
    <row r="1723" spans="1:7" x14ac:dyDescent="0.25">
      <c r="A1723" s="39"/>
      <c r="E1723" s="54"/>
      <c r="F1723" s="2"/>
      <c r="G1723"/>
    </row>
    <row r="1724" spans="1:7" x14ac:dyDescent="0.25">
      <c r="A1724" s="48"/>
      <c r="E1724" s="54"/>
      <c r="F1724"/>
      <c r="G1724"/>
    </row>
    <row r="1725" spans="1:7" x14ac:dyDescent="0.25">
      <c r="A1725" s="48"/>
      <c r="E1725" s="54"/>
      <c r="F1725"/>
      <c r="G1725"/>
    </row>
    <row r="1726" spans="1:7" x14ac:dyDescent="0.25">
      <c r="A1726" s="48"/>
      <c r="E1726" s="54"/>
      <c r="F1726"/>
      <c r="G1726"/>
    </row>
    <row r="1727" spans="1:7" x14ac:dyDescent="0.25">
      <c r="A1727" s="39"/>
      <c r="E1727" s="54"/>
      <c r="F1727" s="2"/>
      <c r="G1727"/>
    </row>
    <row r="1728" spans="1:7" x14ac:dyDescent="0.25">
      <c r="A1728" s="48"/>
      <c r="E1728" s="54"/>
      <c r="F1728"/>
      <c r="G1728"/>
    </row>
    <row r="1729" spans="1:7" x14ac:dyDescent="0.25">
      <c r="A1729" s="39"/>
      <c r="E1729" s="54"/>
      <c r="F1729" s="2"/>
      <c r="G1729"/>
    </row>
    <row r="1730" spans="1:7" x14ac:dyDescent="0.25">
      <c r="A1730" s="39"/>
      <c r="E1730" s="54"/>
      <c r="F1730" s="2"/>
      <c r="G1730"/>
    </row>
    <row r="1731" spans="1:7" x14ac:dyDescent="0.25">
      <c r="A1731" s="39"/>
      <c r="E1731" s="54"/>
      <c r="F1731" s="2"/>
      <c r="G1731"/>
    </row>
    <row r="1732" spans="1:7" x14ac:dyDescent="0.25">
      <c r="A1732" s="39"/>
      <c r="E1732" s="54"/>
      <c r="F1732" s="2"/>
      <c r="G1732"/>
    </row>
    <row r="1733" spans="1:7" x14ac:dyDescent="0.25">
      <c r="A1733" s="39"/>
      <c r="E1733" s="54"/>
      <c r="F1733" s="2"/>
      <c r="G1733"/>
    </row>
    <row r="1734" spans="1:7" x14ac:dyDescent="0.25">
      <c r="A1734" s="39"/>
      <c r="E1734" s="54"/>
      <c r="F1734" s="2"/>
      <c r="G1734"/>
    </row>
    <row r="1735" spans="1:7" x14ac:dyDescent="0.25">
      <c r="A1735" s="48"/>
      <c r="E1735" s="54"/>
      <c r="F1735"/>
      <c r="G1735"/>
    </row>
    <row r="1736" spans="1:7" x14ac:dyDescent="0.25">
      <c r="A1736" s="48"/>
      <c r="E1736" s="54"/>
      <c r="F1736"/>
      <c r="G1736"/>
    </row>
    <row r="1737" spans="1:7" x14ac:dyDescent="0.25">
      <c r="A1737" s="48"/>
      <c r="E1737" s="54"/>
      <c r="F1737"/>
      <c r="G1737"/>
    </row>
    <row r="1738" spans="1:7" x14ac:dyDescent="0.25">
      <c r="A1738" s="39"/>
      <c r="E1738" s="54"/>
      <c r="F1738" s="2"/>
      <c r="G1738"/>
    </row>
    <row r="1739" spans="1:7" x14ac:dyDescent="0.25">
      <c r="A1739" s="48"/>
      <c r="E1739" s="54"/>
      <c r="F1739"/>
      <c r="G1739"/>
    </row>
    <row r="1740" spans="1:7" x14ac:dyDescent="0.25">
      <c r="A1740" s="39"/>
      <c r="E1740" s="54"/>
      <c r="F1740" s="2"/>
      <c r="G1740"/>
    </row>
    <row r="1741" spans="1:7" x14ac:dyDescent="0.25">
      <c r="A1741" s="39"/>
      <c r="E1741" s="54"/>
      <c r="F1741" s="2"/>
      <c r="G1741"/>
    </row>
    <row r="1742" spans="1:7" x14ac:dyDescent="0.25">
      <c r="A1742" s="48"/>
      <c r="E1742" s="54"/>
      <c r="F1742"/>
      <c r="G1742"/>
    </row>
    <row r="1743" spans="1:7" x14ac:dyDescent="0.25">
      <c r="A1743" s="48"/>
      <c r="E1743" s="54"/>
      <c r="F1743"/>
      <c r="G1743"/>
    </row>
    <row r="1744" spans="1:7" x14ac:dyDescent="0.25">
      <c r="A1744" s="48"/>
      <c r="E1744" s="54"/>
      <c r="F1744"/>
      <c r="G1744"/>
    </row>
    <row r="1745" spans="1:7" x14ac:dyDescent="0.25">
      <c r="A1745" s="39"/>
      <c r="E1745" s="54"/>
      <c r="F1745" s="2"/>
      <c r="G1745"/>
    </row>
    <row r="1746" spans="1:7" x14ac:dyDescent="0.25">
      <c r="A1746" s="39"/>
      <c r="E1746" s="54"/>
      <c r="F1746" s="2"/>
      <c r="G1746"/>
    </row>
    <row r="1747" spans="1:7" x14ac:dyDescent="0.25">
      <c r="A1747" s="39"/>
      <c r="E1747" s="54"/>
      <c r="F1747" s="2"/>
      <c r="G1747"/>
    </row>
    <row r="1748" spans="1:7" x14ac:dyDescent="0.25">
      <c r="A1748" s="39"/>
      <c r="E1748" s="54"/>
      <c r="F1748" s="2"/>
      <c r="G1748"/>
    </row>
    <row r="1749" spans="1:7" x14ac:dyDescent="0.25">
      <c r="A1749" s="39"/>
      <c r="E1749" s="54"/>
      <c r="F1749" s="2"/>
      <c r="G1749"/>
    </row>
    <row r="1750" spans="1:7" x14ac:dyDescent="0.25">
      <c r="A1750" s="39"/>
      <c r="E1750" s="54"/>
      <c r="F1750" s="2"/>
      <c r="G1750"/>
    </row>
    <row r="1751" spans="1:7" x14ac:dyDescent="0.25">
      <c r="A1751" s="39"/>
      <c r="E1751" s="54"/>
      <c r="F1751" s="2"/>
      <c r="G1751"/>
    </row>
    <row r="1752" spans="1:7" x14ac:dyDescent="0.25">
      <c r="A1752" s="39"/>
      <c r="E1752" s="54"/>
      <c r="G1752"/>
    </row>
    <row r="1753" spans="1:7" x14ac:dyDescent="0.25">
      <c r="A1753" s="39"/>
      <c r="E1753" s="54"/>
      <c r="F1753" s="2"/>
      <c r="G1753"/>
    </row>
    <row r="1754" spans="1:7" x14ac:dyDescent="0.25">
      <c r="A1754" s="40"/>
      <c r="E1754" s="54"/>
      <c r="G1754"/>
    </row>
    <row r="1755" spans="1:7" x14ac:dyDescent="0.25">
      <c r="A1755" s="40"/>
      <c r="E1755" s="54"/>
      <c r="G1755"/>
    </row>
    <row r="1756" spans="1:7" x14ac:dyDescent="0.25">
      <c r="A1756" s="39"/>
      <c r="E1756" s="54"/>
      <c r="F1756" s="2"/>
      <c r="G1756"/>
    </row>
    <row r="1757" spans="1:7" x14ac:dyDescent="0.25">
      <c r="A1757" s="40"/>
      <c r="E1757" s="54"/>
      <c r="G1757"/>
    </row>
    <row r="1758" spans="1:7" x14ac:dyDescent="0.25">
      <c r="A1758" s="40"/>
      <c r="E1758" s="54"/>
      <c r="G1758"/>
    </row>
    <row r="1759" spans="1:7" x14ac:dyDescent="0.25">
      <c r="A1759" s="39"/>
      <c r="F1759" s="2"/>
      <c r="G1759"/>
    </row>
    <row r="1760" spans="1:7" x14ac:dyDescent="0.25">
      <c r="A1760" s="39"/>
      <c r="F1760" s="2"/>
      <c r="G1760"/>
    </row>
    <row r="1761" spans="1:7" x14ac:dyDescent="0.25">
      <c r="A1761" s="40"/>
      <c r="E1761" s="54"/>
      <c r="G1761"/>
    </row>
    <row r="1762" spans="1:7" x14ac:dyDescent="0.25">
      <c r="A1762" s="40"/>
      <c r="E1762" s="54"/>
      <c r="G1762"/>
    </row>
    <row r="1763" spans="1:7" x14ac:dyDescent="0.25">
      <c r="A1763" s="40"/>
      <c r="E1763" s="54"/>
      <c r="G1763"/>
    </row>
    <row r="1764" spans="1:7" x14ac:dyDescent="0.25">
      <c r="A1764" s="40"/>
      <c r="E1764" s="54"/>
      <c r="G1764"/>
    </row>
    <row r="1765" spans="1:7" x14ac:dyDescent="0.25">
      <c r="A1765" s="40"/>
      <c r="E1765" s="54"/>
      <c r="G1765"/>
    </row>
    <row r="1766" spans="1:7" x14ac:dyDescent="0.25">
      <c r="A1766" s="40"/>
      <c r="E1766" s="54"/>
      <c r="G1766"/>
    </row>
    <row r="1767" spans="1:7" x14ac:dyDescent="0.25">
      <c r="A1767" s="40"/>
      <c r="E1767" s="54"/>
      <c r="G1767"/>
    </row>
    <row r="1768" spans="1:7" x14ac:dyDescent="0.25">
      <c r="A1768" s="40"/>
      <c r="E1768" s="54"/>
      <c r="G1768"/>
    </row>
    <row r="1769" spans="1:7" x14ac:dyDescent="0.25">
      <c r="A1769" s="40"/>
      <c r="E1769" s="54"/>
      <c r="G1769"/>
    </row>
    <row r="1770" spans="1:7" x14ac:dyDescent="0.25">
      <c r="A1770" s="40"/>
      <c r="E1770" s="54"/>
      <c r="G1770"/>
    </row>
    <row r="1771" spans="1:7" x14ac:dyDescent="0.25">
      <c r="A1771" s="40"/>
      <c r="E1771" s="54"/>
      <c r="G1771"/>
    </row>
    <row r="1772" spans="1:7" x14ac:dyDescent="0.25">
      <c r="A1772" s="40"/>
      <c r="E1772" s="54"/>
      <c r="G1772"/>
    </row>
    <row r="1773" spans="1:7" x14ac:dyDescent="0.25">
      <c r="A1773" s="40"/>
      <c r="E1773" s="54"/>
      <c r="G1773"/>
    </row>
    <row r="1774" spans="1:7" x14ac:dyDescent="0.25">
      <c r="A1774" s="48"/>
      <c r="E1774" s="54"/>
      <c r="F1774"/>
      <c r="G1774"/>
    </row>
    <row r="1775" spans="1:7" x14ac:dyDescent="0.25">
      <c r="A1775" s="48"/>
      <c r="E1775" s="54"/>
      <c r="F1775"/>
      <c r="G1775"/>
    </row>
    <row r="1776" spans="1:7" x14ac:dyDescent="0.25">
      <c r="A1776" s="48"/>
      <c r="E1776" s="54"/>
      <c r="F1776"/>
      <c r="G1776"/>
    </row>
    <row r="1777" spans="1:7" x14ac:dyDescent="0.25">
      <c r="A1777" s="48"/>
      <c r="E1777" s="54"/>
      <c r="F1777"/>
      <c r="G1777"/>
    </row>
    <row r="1778" spans="1:7" x14ac:dyDescent="0.25">
      <c r="A1778" s="40"/>
      <c r="E1778" s="54"/>
      <c r="G1778"/>
    </row>
    <row r="1779" spans="1:7" x14ac:dyDescent="0.25">
      <c r="A1779" s="40"/>
      <c r="E1779" s="54"/>
      <c r="G1779"/>
    </row>
    <row r="1780" spans="1:7" x14ac:dyDescent="0.25">
      <c r="A1780" s="40"/>
      <c r="E1780" s="54"/>
      <c r="G1780"/>
    </row>
    <row r="1781" spans="1:7" x14ac:dyDescent="0.25">
      <c r="A1781" s="40"/>
      <c r="E1781" s="54"/>
      <c r="G1781"/>
    </row>
    <row r="1782" spans="1:7" x14ac:dyDescent="0.25">
      <c r="A1782" s="40"/>
      <c r="E1782" s="54"/>
      <c r="G1782"/>
    </row>
    <row r="1783" spans="1:7" x14ac:dyDescent="0.25">
      <c r="A1783" s="40"/>
      <c r="E1783" s="54"/>
      <c r="G1783"/>
    </row>
    <row r="1784" spans="1:7" x14ac:dyDescent="0.25">
      <c r="A1784" s="40"/>
      <c r="E1784" s="54"/>
      <c r="G1784"/>
    </row>
    <row r="1785" spans="1:7" x14ac:dyDescent="0.25">
      <c r="A1785" s="40"/>
      <c r="E1785" s="54"/>
      <c r="G1785"/>
    </row>
    <row r="1786" spans="1:7" x14ac:dyDescent="0.25">
      <c r="A1786" s="40"/>
      <c r="E1786" s="54"/>
      <c r="G1786"/>
    </row>
    <row r="1787" spans="1:7" x14ac:dyDescent="0.25">
      <c r="A1787" s="40"/>
      <c r="E1787" s="54"/>
      <c r="G1787"/>
    </row>
    <row r="1788" spans="1:7" x14ac:dyDescent="0.25">
      <c r="A1788" s="40"/>
      <c r="E1788" s="54"/>
      <c r="G1788"/>
    </row>
    <row r="1789" spans="1:7" x14ac:dyDescent="0.25">
      <c r="A1789" s="40"/>
      <c r="E1789" s="54"/>
      <c r="G1789"/>
    </row>
    <row r="1790" spans="1:7" x14ac:dyDescent="0.25">
      <c r="A1790" s="40"/>
      <c r="E1790" s="54"/>
      <c r="G1790"/>
    </row>
    <row r="1791" spans="1:7" x14ac:dyDescent="0.25">
      <c r="A1791" s="40"/>
      <c r="E1791" s="54"/>
      <c r="G1791"/>
    </row>
    <row r="1792" spans="1:7" x14ac:dyDescent="0.25">
      <c r="A1792" s="40"/>
      <c r="E1792" s="54"/>
      <c r="G1792"/>
    </row>
    <row r="1793" spans="1:7" x14ac:dyDescent="0.25">
      <c r="A1793" s="40"/>
      <c r="E1793" s="54"/>
      <c r="G1793"/>
    </row>
    <row r="1794" spans="1:7" x14ac:dyDescent="0.25">
      <c r="A1794" s="40"/>
      <c r="E1794" s="54"/>
      <c r="G1794"/>
    </row>
    <row r="1795" spans="1:7" x14ac:dyDescent="0.25">
      <c r="A1795" s="40"/>
      <c r="E1795" s="54"/>
      <c r="G1795"/>
    </row>
    <row r="1796" spans="1:7" x14ac:dyDescent="0.25">
      <c r="A1796" s="40"/>
      <c r="E1796" s="54"/>
      <c r="G1796"/>
    </row>
    <row r="1797" spans="1:7" x14ac:dyDescent="0.25">
      <c r="A1797" s="40"/>
      <c r="E1797" s="54"/>
      <c r="G1797"/>
    </row>
    <row r="1798" spans="1:7" x14ac:dyDescent="0.25">
      <c r="A1798" s="40"/>
      <c r="E1798" s="54"/>
      <c r="G1798"/>
    </row>
    <row r="1799" spans="1:7" x14ac:dyDescent="0.25">
      <c r="A1799" s="40"/>
      <c r="E1799" s="54"/>
      <c r="G1799"/>
    </row>
    <row r="1800" spans="1:7" x14ac:dyDescent="0.25">
      <c r="A1800" s="40"/>
      <c r="E1800" s="54"/>
      <c r="G1800"/>
    </row>
    <row r="1801" spans="1:7" x14ac:dyDescent="0.25">
      <c r="A1801" s="40"/>
      <c r="E1801" s="54"/>
      <c r="G1801"/>
    </row>
    <row r="1802" spans="1:7" x14ac:dyDescent="0.25">
      <c r="A1802" s="40"/>
      <c r="E1802" s="54"/>
      <c r="G1802"/>
    </row>
    <row r="1803" spans="1:7" x14ac:dyDescent="0.25">
      <c r="A1803" s="40"/>
      <c r="E1803" s="54"/>
      <c r="G1803"/>
    </row>
    <row r="1804" spans="1:7" x14ac:dyDescent="0.25">
      <c r="A1804" s="40"/>
      <c r="E1804" s="54"/>
      <c r="G1804"/>
    </row>
    <row r="1805" spans="1:7" x14ac:dyDescent="0.25">
      <c r="A1805" s="40"/>
      <c r="E1805" s="54"/>
      <c r="G1805"/>
    </row>
    <row r="1806" spans="1:7" x14ac:dyDescent="0.25">
      <c r="A1806" s="40"/>
      <c r="E1806" s="54"/>
      <c r="G1806"/>
    </row>
    <row r="1807" spans="1:7" x14ac:dyDescent="0.25">
      <c r="A1807" s="40"/>
      <c r="E1807" s="54"/>
      <c r="G1807"/>
    </row>
    <row r="1808" spans="1:7" x14ac:dyDescent="0.25">
      <c r="A1808" s="40"/>
      <c r="E1808" s="54"/>
      <c r="G1808"/>
    </row>
    <row r="1809" spans="1:7" x14ac:dyDescent="0.25">
      <c r="A1809" s="40"/>
      <c r="E1809" s="54"/>
      <c r="G1809"/>
    </row>
    <row r="1810" spans="1:7" x14ac:dyDescent="0.25">
      <c r="A1810" s="40"/>
      <c r="E1810" s="54"/>
      <c r="G1810"/>
    </row>
    <row r="1811" spans="1:7" x14ac:dyDescent="0.25">
      <c r="A1811" s="40"/>
      <c r="E1811" s="54"/>
      <c r="G1811"/>
    </row>
    <row r="1812" spans="1:7" x14ac:dyDescent="0.25">
      <c r="A1812" s="40"/>
      <c r="E1812" s="54"/>
      <c r="G1812"/>
    </row>
    <row r="1813" spans="1:7" x14ac:dyDescent="0.25">
      <c r="A1813" s="40"/>
      <c r="E1813" s="54"/>
      <c r="G1813"/>
    </row>
    <row r="1814" spans="1:7" x14ac:dyDescent="0.25">
      <c r="A1814" s="40"/>
      <c r="E1814" s="54"/>
      <c r="G1814"/>
    </row>
    <row r="1815" spans="1:7" x14ac:dyDescent="0.25">
      <c r="A1815" s="40"/>
      <c r="E1815" s="54"/>
      <c r="G1815"/>
    </row>
    <row r="1816" spans="1:7" x14ac:dyDescent="0.25">
      <c r="A1816" s="40"/>
      <c r="E1816" s="54"/>
      <c r="G1816"/>
    </row>
    <row r="1817" spans="1:7" x14ac:dyDescent="0.25">
      <c r="A1817" s="40"/>
      <c r="E1817" s="54"/>
      <c r="G1817"/>
    </row>
    <row r="1818" spans="1:7" x14ac:dyDescent="0.25">
      <c r="A1818" s="40"/>
      <c r="E1818" s="54"/>
      <c r="G1818"/>
    </row>
    <row r="1819" spans="1:7" x14ac:dyDescent="0.25">
      <c r="A1819" s="40"/>
      <c r="E1819" s="54"/>
      <c r="G1819"/>
    </row>
    <row r="1820" spans="1:7" x14ac:dyDescent="0.25">
      <c r="A1820" s="40"/>
      <c r="E1820" s="54"/>
      <c r="G1820"/>
    </row>
    <row r="1821" spans="1:7" x14ac:dyDescent="0.25">
      <c r="A1821" s="40"/>
      <c r="E1821" s="54"/>
      <c r="G1821"/>
    </row>
    <row r="1822" spans="1:7" x14ac:dyDescent="0.25">
      <c r="A1822" s="40"/>
      <c r="E1822" s="54"/>
      <c r="G1822"/>
    </row>
    <row r="1823" spans="1:7" x14ac:dyDescent="0.25">
      <c r="A1823" s="40"/>
      <c r="E1823" s="54"/>
      <c r="G1823"/>
    </row>
    <row r="1824" spans="1:7" x14ac:dyDescent="0.25">
      <c r="A1824" s="40"/>
      <c r="E1824" s="54"/>
      <c r="G1824"/>
    </row>
    <row r="1825" spans="1:7" x14ac:dyDescent="0.25">
      <c r="A1825" s="40"/>
      <c r="E1825" s="54"/>
      <c r="G1825"/>
    </row>
    <row r="1826" spans="1:7" x14ac:dyDescent="0.25">
      <c r="A1826" s="40"/>
      <c r="E1826" s="54"/>
      <c r="G1826"/>
    </row>
    <row r="1827" spans="1:7" x14ac:dyDescent="0.25">
      <c r="A1827" s="40"/>
      <c r="E1827" s="54"/>
      <c r="G1827"/>
    </row>
    <row r="1828" spans="1:7" x14ac:dyDescent="0.25">
      <c r="A1828" s="40"/>
      <c r="E1828" s="54"/>
      <c r="G1828"/>
    </row>
    <row r="1829" spans="1:7" x14ac:dyDescent="0.25">
      <c r="A1829" s="40"/>
      <c r="E1829" s="54"/>
      <c r="G1829"/>
    </row>
    <row r="1830" spans="1:7" x14ac:dyDescent="0.25">
      <c r="A1830" s="40"/>
      <c r="E1830" s="54"/>
      <c r="G1830"/>
    </row>
    <row r="1831" spans="1:7" x14ac:dyDescent="0.25">
      <c r="A1831" s="40"/>
      <c r="E1831" s="54"/>
      <c r="G1831"/>
    </row>
    <row r="1832" spans="1:7" x14ac:dyDescent="0.25">
      <c r="A1832" s="40"/>
      <c r="E1832" s="54"/>
      <c r="G1832"/>
    </row>
    <row r="1833" spans="1:7" x14ac:dyDescent="0.25">
      <c r="A1833" s="40"/>
      <c r="E1833" s="54"/>
      <c r="G1833"/>
    </row>
    <row r="1834" spans="1:7" x14ac:dyDescent="0.25">
      <c r="A1834" s="40"/>
      <c r="E1834" s="54"/>
      <c r="G1834"/>
    </row>
    <row r="1835" spans="1:7" x14ac:dyDescent="0.25">
      <c r="A1835" s="40"/>
      <c r="E1835" s="54"/>
      <c r="G1835"/>
    </row>
    <row r="1836" spans="1:7" x14ac:dyDescent="0.25">
      <c r="A1836" s="48"/>
      <c r="E1836" s="54"/>
      <c r="F1836"/>
      <c r="G1836"/>
    </row>
    <row r="1837" spans="1:7" x14ac:dyDescent="0.25">
      <c r="A1837" s="40"/>
      <c r="E1837" s="54"/>
      <c r="G1837"/>
    </row>
    <row r="1838" spans="1:7" x14ac:dyDescent="0.25">
      <c r="A1838" s="40"/>
      <c r="E1838" s="54"/>
      <c r="G1838"/>
    </row>
    <row r="1839" spans="1:7" x14ac:dyDescent="0.25">
      <c r="A1839" s="40"/>
      <c r="E1839" s="54"/>
      <c r="G1839"/>
    </row>
    <row r="1840" spans="1:7" x14ac:dyDescent="0.25">
      <c r="A1840" s="40"/>
      <c r="E1840" s="54"/>
      <c r="G1840"/>
    </row>
    <row r="1841" spans="1:7" x14ac:dyDescent="0.25">
      <c r="A1841" s="40"/>
      <c r="E1841" s="54"/>
      <c r="G1841"/>
    </row>
    <row r="1842" spans="1:7" x14ac:dyDescent="0.25">
      <c r="A1842" s="40"/>
      <c r="E1842" s="54"/>
      <c r="G1842"/>
    </row>
    <row r="1843" spans="1:7" x14ac:dyDescent="0.25">
      <c r="A1843" s="40"/>
      <c r="E1843" s="54"/>
      <c r="G1843"/>
    </row>
    <row r="1844" spans="1:7" x14ac:dyDescent="0.25">
      <c r="A1844" s="48"/>
      <c r="E1844" s="54"/>
      <c r="F1844"/>
      <c r="G1844"/>
    </row>
    <row r="1845" spans="1:7" x14ac:dyDescent="0.25">
      <c r="A1845" s="48"/>
      <c r="E1845" s="54"/>
      <c r="F1845"/>
      <c r="G1845"/>
    </row>
    <row r="1846" spans="1:7" x14ac:dyDescent="0.25">
      <c r="A1846" s="48"/>
      <c r="E1846" s="54"/>
      <c r="F1846"/>
      <c r="G1846"/>
    </row>
    <row r="1847" spans="1:7" x14ac:dyDescent="0.25">
      <c r="A1847" s="48"/>
      <c r="E1847" s="54"/>
      <c r="F1847"/>
      <c r="G1847"/>
    </row>
    <row r="1848" spans="1:7" x14ac:dyDescent="0.25">
      <c r="A1848" s="48"/>
      <c r="E1848" s="54"/>
      <c r="F1848"/>
      <c r="G1848"/>
    </row>
    <row r="1849" spans="1:7" x14ac:dyDescent="0.25">
      <c r="A1849" s="48"/>
      <c r="E1849" s="54"/>
      <c r="F1849"/>
      <c r="G1849"/>
    </row>
    <row r="1850" spans="1:7" x14ac:dyDescent="0.25">
      <c r="A1850" s="40"/>
      <c r="E1850" s="54"/>
      <c r="G1850"/>
    </row>
    <row r="1851" spans="1:7" x14ac:dyDescent="0.25">
      <c r="A1851" s="40"/>
      <c r="E1851" s="54"/>
      <c r="G1851"/>
    </row>
    <row r="1852" spans="1:7" x14ac:dyDescent="0.25">
      <c r="A1852" s="40"/>
      <c r="E1852" s="54"/>
      <c r="G1852"/>
    </row>
    <row r="1853" spans="1:7" x14ac:dyDescent="0.25">
      <c r="A1853" s="40"/>
      <c r="E1853" s="54"/>
      <c r="G1853"/>
    </row>
    <row r="1854" spans="1:7" x14ac:dyDescent="0.25">
      <c r="A1854" s="48"/>
      <c r="E1854" s="54"/>
      <c r="F1854"/>
      <c r="G1854"/>
    </row>
    <row r="1855" spans="1:7" x14ac:dyDescent="0.25">
      <c r="A1855" s="48"/>
      <c r="E1855" s="54"/>
      <c r="F1855"/>
      <c r="G1855"/>
    </row>
    <row r="1856" spans="1:7" x14ac:dyDescent="0.25">
      <c r="A1856" s="48"/>
      <c r="E1856" s="54"/>
      <c r="F1856"/>
      <c r="G1856"/>
    </row>
    <row r="1857" spans="1:7" x14ac:dyDescent="0.25">
      <c r="A1857" s="48"/>
      <c r="E1857" s="54"/>
      <c r="F1857"/>
      <c r="G1857"/>
    </row>
    <row r="1858" spans="1:7" x14ac:dyDescent="0.25">
      <c r="A1858" s="48"/>
      <c r="E1858" s="54"/>
      <c r="F1858"/>
      <c r="G1858"/>
    </row>
    <row r="1859" spans="1:7" x14ac:dyDescent="0.25">
      <c r="A1859" s="48"/>
      <c r="E1859" s="54"/>
      <c r="F1859"/>
      <c r="G1859"/>
    </row>
    <row r="1860" spans="1:7" x14ac:dyDescent="0.25">
      <c r="A1860" s="48"/>
      <c r="E1860" s="54"/>
      <c r="F1860"/>
      <c r="G1860"/>
    </row>
    <row r="1861" spans="1:7" x14ac:dyDescent="0.25">
      <c r="A1861" s="48"/>
      <c r="E1861" s="54"/>
      <c r="F1861"/>
      <c r="G1861"/>
    </row>
    <row r="1862" spans="1:7" x14ac:dyDescent="0.25">
      <c r="A1862" s="48"/>
      <c r="E1862" s="54"/>
      <c r="F1862"/>
      <c r="G1862"/>
    </row>
    <row r="1863" spans="1:7" x14ac:dyDescent="0.25">
      <c r="A1863" s="48"/>
      <c r="E1863" s="54"/>
      <c r="F1863"/>
      <c r="G1863"/>
    </row>
    <row r="1864" spans="1:7" x14ac:dyDescent="0.25">
      <c r="A1864" s="48"/>
      <c r="E1864" s="54"/>
      <c r="F1864"/>
      <c r="G1864"/>
    </row>
    <row r="1865" spans="1:7" x14ac:dyDescent="0.25">
      <c r="A1865" s="48"/>
      <c r="E1865" s="54"/>
      <c r="F1865"/>
      <c r="G1865"/>
    </row>
    <row r="1866" spans="1:7" x14ac:dyDescent="0.25">
      <c r="A1866" s="48"/>
      <c r="E1866" s="54"/>
      <c r="F1866"/>
      <c r="G1866"/>
    </row>
    <row r="1867" spans="1:7" x14ac:dyDescent="0.25">
      <c r="A1867" s="48"/>
      <c r="E1867" s="54"/>
      <c r="F1867"/>
      <c r="G1867"/>
    </row>
    <row r="1868" spans="1:7" x14ac:dyDescent="0.25">
      <c r="A1868" s="40"/>
      <c r="E1868" s="54"/>
      <c r="G1868"/>
    </row>
    <row r="1869" spans="1:7" x14ac:dyDescent="0.25">
      <c r="A1869" s="40"/>
      <c r="E1869" s="54"/>
      <c r="G1869"/>
    </row>
    <row r="1870" spans="1:7" x14ac:dyDescent="0.25">
      <c r="A1870" s="48"/>
      <c r="E1870" s="54"/>
      <c r="F1870"/>
      <c r="G1870"/>
    </row>
    <row r="1871" spans="1:7" x14ac:dyDescent="0.25">
      <c r="A1871" s="48"/>
      <c r="E1871" s="54"/>
      <c r="F1871"/>
      <c r="G1871"/>
    </row>
    <row r="1872" spans="1:7" x14ac:dyDescent="0.25">
      <c r="A1872" s="40"/>
      <c r="E1872" s="54"/>
      <c r="G1872"/>
    </row>
    <row r="1873" spans="1:7" x14ac:dyDescent="0.25">
      <c r="A1873" s="40"/>
      <c r="E1873" s="54"/>
      <c r="G1873"/>
    </row>
    <row r="1874" spans="1:7" x14ac:dyDescent="0.25">
      <c r="A1874" s="40"/>
      <c r="E1874" s="54"/>
      <c r="G1874"/>
    </row>
    <row r="1875" spans="1:7" x14ac:dyDescent="0.25">
      <c r="A1875" s="40"/>
      <c r="E1875" s="54"/>
      <c r="G1875"/>
    </row>
    <row r="1876" spans="1:7" x14ac:dyDescent="0.25">
      <c r="A1876" s="40"/>
      <c r="E1876" s="54"/>
      <c r="G1876"/>
    </row>
    <row r="1877" spans="1:7" x14ac:dyDescent="0.25">
      <c r="A1877" s="40"/>
      <c r="E1877" s="54"/>
      <c r="G1877"/>
    </row>
    <row r="1878" spans="1:7" x14ac:dyDescent="0.25">
      <c r="A1878" s="40"/>
      <c r="E1878" s="54"/>
      <c r="G1878"/>
    </row>
    <row r="1879" spans="1:7" x14ac:dyDescent="0.25">
      <c r="A1879" s="40"/>
      <c r="E1879" s="54"/>
      <c r="G1879"/>
    </row>
    <row r="1880" spans="1:7" x14ac:dyDescent="0.25">
      <c r="A1880" s="40"/>
      <c r="E1880" s="54"/>
      <c r="G1880"/>
    </row>
    <row r="1881" spans="1:7" x14ac:dyDescent="0.25">
      <c r="A1881" s="40"/>
      <c r="E1881" s="54"/>
      <c r="G1881"/>
    </row>
    <row r="1882" spans="1:7" x14ac:dyDescent="0.25">
      <c r="A1882" s="40"/>
      <c r="E1882" s="54"/>
      <c r="G1882"/>
    </row>
    <row r="1883" spans="1:7" x14ac:dyDescent="0.25">
      <c r="A1883" s="40"/>
      <c r="E1883" s="54"/>
      <c r="G1883"/>
    </row>
    <row r="1884" spans="1:7" x14ac:dyDescent="0.25">
      <c r="A1884" s="40"/>
      <c r="E1884" s="54"/>
      <c r="G1884"/>
    </row>
    <row r="1885" spans="1:7" x14ac:dyDescent="0.25">
      <c r="A1885" s="40"/>
      <c r="E1885" s="54"/>
      <c r="G1885"/>
    </row>
    <row r="1886" spans="1:7" x14ac:dyDescent="0.25">
      <c r="A1886" s="40"/>
      <c r="E1886" s="54"/>
      <c r="G1886"/>
    </row>
    <row r="1887" spans="1:7" x14ac:dyDescent="0.25">
      <c r="A1887" s="40"/>
      <c r="E1887" s="54"/>
      <c r="G1887"/>
    </row>
    <row r="1888" spans="1:7" x14ac:dyDescent="0.25">
      <c r="A1888" s="40"/>
      <c r="E1888" s="54"/>
      <c r="G1888"/>
    </row>
    <row r="1889" spans="1:7" x14ac:dyDescent="0.25">
      <c r="A1889" s="40"/>
      <c r="E1889" s="54"/>
      <c r="G1889"/>
    </row>
    <row r="1890" spans="1:7" x14ac:dyDescent="0.25">
      <c r="A1890" s="40"/>
      <c r="E1890" s="54"/>
      <c r="G1890"/>
    </row>
    <row r="1891" spans="1:7" x14ac:dyDescent="0.25">
      <c r="A1891" s="39"/>
      <c r="E1891" s="54"/>
      <c r="G1891"/>
    </row>
    <row r="1892" spans="1:7" x14ac:dyDescent="0.25">
      <c r="A1892" s="39"/>
      <c r="E1892" s="54"/>
      <c r="F1892" s="2"/>
      <c r="G1892"/>
    </row>
    <row r="1893" spans="1:7" x14ac:dyDescent="0.25">
      <c r="A1893" s="39"/>
      <c r="E1893" s="54"/>
      <c r="F1893" s="2"/>
      <c r="G1893"/>
    </row>
    <row r="1894" spans="1:7" x14ac:dyDescent="0.25">
      <c r="A1894" s="40"/>
      <c r="E1894" s="54"/>
      <c r="G1894"/>
    </row>
    <row r="1895" spans="1:7" x14ac:dyDescent="0.25">
      <c r="A1895" s="48"/>
      <c r="E1895" s="54"/>
      <c r="F1895"/>
      <c r="G1895"/>
    </row>
    <row r="1896" spans="1:7" x14ac:dyDescent="0.25">
      <c r="A1896" s="48"/>
      <c r="E1896" s="54"/>
      <c r="F1896"/>
      <c r="G1896"/>
    </row>
    <row r="1897" spans="1:7" x14ac:dyDescent="0.25">
      <c r="A1897" s="48"/>
      <c r="E1897" s="54"/>
      <c r="F1897"/>
      <c r="G1897"/>
    </row>
    <row r="1898" spans="1:7" x14ac:dyDescent="0.25">
      <c r="A1898" s="48"/>
      <c r="E1898" s="54"/>
      <c r="F1898"/>
      <c r="G1898"/>
    </row>
    <row r="1899" spans="1:7" x14ac:dyDescent="0.25">
      <c r="A1899" s="48"/>
      <c r="E1899" s="54"/>
      <c r="F1899"/>
      <c r="G1899"/>
    </row>
    <row r="1900" spans="1:7" x14ac:dyDescent="0.25">
      <c r="A1900" s="48"/>
      <c r="E1900" s="54"/>
      <c r="F1900"/>
      <c r="G1900"/>
    </row>
    <row r="1901" spans="1:7" x14ac:dyDescent="0.25">
      <c r="A1901" s="48"/>
      <c r="E1901" s="54"/>
      <c r="F1901"/>
      <c r="G1901"/>
    </row>
    <row r="1902" spans="1:7" x14ac:dyDescent="0.25">
      <c r="A1902" s="48"/>
      <c r="E1902" s="54"/>
      <c r="F1902"/>
      <c r="G1902"/>
    </row>
    <row r="1903" spans="1:7" x14ac:dyDescent="0.25">
      <c r="A1903" s="48"/>
      <c r="E1903" s="54"/>
      <c r="F1903"/>
      <c r="G1903"/>
    </row>
    <row r="1904" spans="1:7" x14ac:dyDescent="0.25">
      <c r="A1904" s="48"/>
      <c r="E1904" s="54"/>
      <c r="F1904"/>
      <c r="G1904"/>
    </row>
    <row r="1905" spans="1:7" x14ac:dyDescent="0.25">
      <c r="A1905" s="48"/>
      <c r="E1905" s="54"/>
      <c r="F1905"/>
      <c r="G1905"/>
    </row>
    <row r="1906" spans="1:7" x14ac:dyDescent="0.25">
      <c r="A1906" s="48"/>
      <c r="E1906" s="54"/>
      <c r="F1906"/>
      <c r="G1906"/>
    </row>
    <row r="1907" spans="1:7" x14ac:dyDescent="0.25">
      <c r="A1907" s="48"/>
      <c r="E1907" s="54"/>
      <c r="F1907"/>
      <c r="G1907"/>
    </row>
    <row r="1908" spans="1:7" x14ac:dyDescent="0.25">
      <c r="A1908" s="48"/>
      <c r="E1908" s="54"/>
      <c r="F1908"/>
      <c r="G1908"/>
    </row>
    <row r="1909" spans="1:7" x14ac:dyDescent="0.25">
      <c r="A1909" s="48"/>
      <c r="E1909" s="54"/>
      <c r="F1909"/>
      <c r="G1909"/>
    </row>
    <row r="1910" spans="1:7" x14ac:dyDescent="0.25">
      <c r="A1910" s="48"/>
      <c r="E1910" s="54"/>
      <c r="F1910"/>
      <c r="G1910"/>
    </row>
    <row r="1911" spans="1:7" x14ac:dyDescent="0.25">
      <c r="A1911" s="48"/>
      <c r="E1911" s="54"/>
      <c r="F1911"/>
      <c r="G1911"/>
    </row>
    <row r="1912" spans="1:7" x14ac:dyDescent="0.25">
      <c r="A1912" s="48"/>
      <c r="E1912" s="54"/>
      <c r="F1912"/>
      <c r="G1912"/>
    </row>
    <row r="1913" spans="1:7" x14ac:dyDescent="0.25">
      <c r="A1913" s="48"/>
      <c r="E1913" s="54"/>
      <c r="F1913"/>
      <c r="G1913"/>
    </row>
    <row r="1914" spans="1:7" x14ac:dyDescent="0.25">
      <c r="A1914" s="48"/>
      <c r="E1914" s="54"/>
      <c r="F1914"/>
      <c r="G1914"/>
    </row>
    <row r="1915" spans="1:7" x14ac:dyDescent="0.25">
      <c r="A1915" s="48"/>
      <c r="E1915" s="54"/>
      <c r="F1915"/>
      <c r="G1915"/>
    </row>
    <row r="1916" spans="1:7" x14ac:dyDescent="0.25">
      <c r="A1916" s="48"/>
      <c r="E1916" s="54"/>
      <c r="F1916"/>
      <c r="G1916"/>
    </row>
    <row r="1917" spans="1:7" x14ac:dyDescent="0.25">
      <c r="A1917" s="48"/>
      <c r="E1917" s="54"/>
      <c r="F1917"/>
      <c r="G1917"/>
    </row>
    <row r="1918" spans="1:7" x14ac:dyDescent="0.25">
      <c r="A1918" s="48"/>
      <c r="E1918" s="54"/>
      <c r="F1918"/>
      <c r="G1918"/>
    </row>
    <row r="1919" spans="1:7" x14ac:dyDescent="0.25">
      <c r="A1919" s="40"/>
      <c r="E1919" s="54"/>
      <c r="G1919"/>
    </row>
    <row r="1920" spans="1:7" x14ac:dyDescent="0.25">
      <c r="A1920" s="40"/>
      <c r="E1920" s="54"/>
      <c r="G1920"/>
    </row>
    <row r="1921" spans="1:7" x14ac:dyDescent="0.25">
      <c r="A1921" s="40"/>
      <c r="E1921" s="54"/>
      <c r="G1921"/>
    </row>
    <row r="1922" spans="1:7" x14ac:dyDescent="0.25">
      <c r="A1922" s="39"/>
      <c r="E1922" s="54"/>
      <c r="F1922" s="2"/>
      <c r="G1922"/>
    </row>
    <row r="1923" spans="1:7" x14ac:dyDescent="0.25">
      <c r="A1923" s="40"/>
      <c r="E1923" s="54"/>
      <c r="G1923"/>
    </row>
    <row r="1924" spans="1:7" x14ac:dyDescent="0.25">
      <c r="A1924" s="40"/>
      <c r="E1924" s="54"/>
      <c r="G1924"/>
    </row>
    <row r="1925" spans="1:7" x14ac:dyDescent="0.25">
      <c r="A1925" s="40"/>
      <c r="E1925" s="54"/>
      <c r="G1925"/>
    </row>
    <row r="1926" spans="1:7" x14ac:dyDescent="0.25">
      <c r="A1926" s="40"/>
      <c r="E1926" s="54"/>
      <c r="G1926"/>
    </row>
    <row r="1927" spans="1:7" x14ac:dyDescent="0.25">
      <c r="A1927" s="40"/>
      <c r="E1927" s="54"/>
      <c r="G1927"/>
    </row>
    <row r="1928" spans="1:7" x14ac:dyDescent="0.25">
      <c r="A1928" s="40"/>
      <c r="E1928" s="54"/>
      <c r="G1928"/>
    </row>
    <row r="1929" spans="1:7" x14ac:dyDescent="0.25">
      <c r="A1929" s="40"/>
      <c r="E1929" s="54"/>
      <c r="G1929"/>
    </row>
    <row r="1930" spans="1:7" x14ac:dyDescent="0.25">
      <c r="A1930" s="40"/>
      <c r="E1930" s="54"/>
      <c r="G1930"/>
    </row>
    <row r="1931" spans="1:7" x14ac:dyDescent="0.25">
      <c r="A1931" s="40"/>
      <c r="E1931" s="54"/>
      <c r="G1931"/>
    </row>
    <row r="1932" spans="1:7" x14ac:dyDescent="0.25">
      <c r="A1932" s="40"/>
      <c r="E1932" s="54"/>
      <c r="G1932"/>
    </row>
    <row r="1933" spans="1:7" x14ac:dyDescent="0.25">
      <c r="A1933" s="40"/>
      <c r="E1933" s="54"/>
      <c r="G1933"/>
    </row>
    <row r="1934" spans="1:7" x14ac:dyDescent="0.25">
      <c r="A1934" s="40"/>
      <c r="E1934" s="54"/>
      <c r="G1934"/>
    </row>
    <row r="1935" spans="1:7" x14ac:dyDescent="0.25">
      <c r="A1935" s="40"/>
      <c r="E1935" s="54"/>
      <c r="G1935"/>
    </row>
    <row r="1936" spans="1:7" x14ac:dyDescent="0.25">
      <c r="A1936" s="40"/>
      <c r="E1936" s="54"/>
      <c r="G1936"/>
    </row>
    <row r="1937" spans="1:7" x14ac:dyDescent="0.25">
      <c r="A1937" s="40"/>
      <c r="E1937" s="54"/>
      <c r="G1937"/>
    </row>
    <row r="1938" spans="1:7" x14ac:dyDescent="0.25">
      <c r="A1938" s="40"/>
      <c r="E1938" s="54"/>
      <c r="G1938"/>
    </row>
    <row r="1939" spans="1:7" x14ac:dyDescent="0.25">
      <c r="A1939" s="40"/>
      <c r="E1939" s="54"/>
      <c r="G1939"/>
    </row>
    <row r="1940" spans="1:7" x14ac:dyDescent="0.25">
      <c r="A1940" s="40"/>
      <c r="E1940" s="54"/>
      <c r="G1940"/>
    </row>
    <row r="1941" spans="1:7" x14ac:dyDescent="0.25">
      <c r="A1941" s="40"/>
      <c r="E1941" s="54"/>
      <c r="G1941"/>
    </row>
    <row r="1942" spans="1:7" x14ac:dyDescent="0.25">
      <c r="A1942" s="40"/>
      <c r="E1942" s="54"/>
      <c r="G1942"/>
    </row>
    <row r="1943" spans="1:7" x14ac:dyDescent="0.25">
      <c r="A1943" s="40"/>
      <c r="E1943" s="54"/>
      <c r="G1943"/>
    </row>
    <row r="1944" spans="1:7" x14ac:dyDescent="0.25">
      <c r="A1944" s="40"/>
      <c r="E1944" s="54"/>
      <c r="G1944"/>
    </row>
    <row r="1945" spans="1:7" x14ac:dyDescent="0.25">
      <c r="A1945" s="40"/>
      <c r="E1945" s="54"/>
      <c r="G1945"/>
    </row>
    <row r="1946" spans="1:7" x14ac:dyDescent="0.25">
      <c r="A1946" s="40"/>
      <c r="E1946" s="54"/>
      <c r="G1946"/>
    </row>
    <row r="1947" spans="1:7" x14ac:dyDescent="0.25">
      <c r="A1947" s="40"/>
      <c r="E1947" s="54"/>
      <c r="G1947"/>
    </row>
    <row r="1948" spans="1:7" x14ac:dyDescent="0.25">
      <c r="A1948" s="40"/>
      <c r="E1948" s="54"/>
      <c r="G1948"/>
    </row>
    <row r="1949" spans="1:7" x14ac:dyDescent="0.25">
      <c r="A1949" s="40"/>
      <c r="E1949" s="54"/>
      <c r="G1949"/>
    </row>
    <row r="1950" spans="1:7" x14ac:dyDescent="0.25">
      <c r="A1950" s="40"/>
      <c r="E1950" s="54"/>
      <c r="G1950"/>
    </row>
    <row r="1951" spans="1:7" x14ac:dyDescent="0.25">
      <c r="A1951" s="40"/>
      <c r="E1951" s="54"/>
      <c r="G1951"/>
    </row>
    <row r="1952" spans="1:7" x14ac:dyDescent="0.25">
      <c r="A1952" s="40"/>
      <c r="E1952" s="54"/>
      <c r="G1952"/>
    </row>
    <row r="1953" spans="1:7" x14ac:dyDescent="0.25">
      <c r="A1953" s="40"/>
      <c r="E1953" s="54"/>
      <c r="G1953"/>
    </row>
    <row r="1954" spans="1:7" x14ac:dyDescent="0.25">
      <c r="A1954" s="39"/>
      <c r="F1954" s="2"/>
      <c r="G1954"/>
    </row>
    <row r="1955" spans="1:7" x14ac:dyDescent="0.25">
      <c r="A1955" s="39"/>
      <c r="F1955" s="2"/>
      <c r="G1955"/>
    </row>
    <row r="1956" spans="1:7" x14ac:dyDescent="0.25">
      <c r="A1956" s="39"/>
      <c r="F1956" s="2"/>
      <c r="G1956"/>
    </row>
    <row r="1957" spans="1:7" x14ac:dyDescent="0.25">
      <c r="A1957" s="39"/>
      <c r="F1957" s="2"/>
      <c r="G1957"/>
    </row>
    <row r="1958" spans="1:7" x14ac:dyDescent="0.25">
      <c r="A1958" s="40"/>
      <c r="E1958" s="54"/>
      <c r="G1958"/>
    </row>
    <row r="1959" spans="1:7" x14ac:dyDescent="0.25">
      <c r="A1959" s="40"/>
      <c r="E1959" s="54"/>
      <c r="G1959"/>
    </row>
    <row r="1960" spans="1:7" x14ac:dyDescent="0.25">
      <c r="A1960" s="40"/>
      <c r="E1960" s="54"/>
      <c r="G1960"/>
    </row>
    <row r="1961" spans="1:7" x14ac:dyDescent="0.25">
      <c r="A1961" s="40"/>
      <c r="E1961" s="54"/>
      <c r="G1961"/>
    </row>
    <row r="1962" spans="1:7" x14ac:dyDescent="0.25">
      <c r="A1962" s="40"/>
      <c r="E1962" s="54"/>
      <c r="G1962"/>
    </row>
    <row r="1963" spans="1:7" x14ac:dyDescent="0.25">
      <c r="A1963" s="40"/>
      <c r="E1963" s="54"/>
      <c r="G1963"/>
    </row>
    <row r="1964" spans="1:7" x14ac:dyDescent="0.25">
      <c r="A1964" s="40"/>
      <c r="E1964" s="54"/>
      <c r="G1964"/>
    </row>
    <row r="1965" spans="1:7" x14ac:dyDescent="0.25">
      <c r="A1965" s="40"/>
      <c r="E1965" s="54"/>
      <c r="G1965"/>
    </row>
    <row r="1966" spans="1:7" x14ac:dyDescent="0.25">
      <c r="A1966" s="40"/>
      <c r="E1966" s="54"/>
      <c r="G1966"/>
    </row>
    <row r="1967" spans="1:7" x14ac:dyDescent="0.25">
      <c r="A1967" s="40"/>
      <c r="E1967" s="54"/>
      <c r="G1967"/>
    </row>
    <row r="1968" spans="1:7" x14ac:dyDescent="0.25">
      <c r="A1968" s="40"/>
      <c r="E1968" s="54"/>
      <c r="G1968"/>
    </row>
    <row r="1969" spans="1:7" x14ac:dyDescent="0.25">
      <c r="A1969" s="40"/>
      <c r="E1969" s="54"/>
      <c r="G1969"/>
    </row>
    <row r="1970" spans="1:7" x14ac:dyDescent="0.25">
      <c r="A1970" s="40"/>
      <c r="E1970" s="54"/>
      <c r="G1970"/>
    </row>
    <row r="1971" spans="1:7" x14ac:dyDescent="0.25">
      <c r="A1971" s="40"/>
      <c r="E1971" s="54"/>
      <c r="G1971"/>
    </row>
    <row r="1972" spans="1:7" x14ac:dyDescent="0.25">
      <c r="A1972" s="40"/>
      <c r="E1972" s="54"/>
      <c r="G1972"/>
    </row>
    <row r="1973" spans="1:7" x14ac:dyDescent="0.25">
      <c r="A1973" s="40"/>
      <c r="E1973" s="54"/>
      <c r="G1973"/>
    </row>
    <row r="1974" spans="1:7" x14ac:dyDescent="0.25">
      <c r="A1974" s="40"/>
      <c r="E1974" s="54"/>
      <c r="G1974"/>
    </row>
    <row r="1975" spans="1:7" x14ac:dyDescent="0.25">
      <c r="A1975" s="40"/>
      <c r="E1975" s="54"/>
      <c r="G1975"/>
    </row>
    <row r="1976" spans="1:7" x14ac:dyDescent="0.25">
      <c r="A1976" s="40"/>
      <c r="E1976" s="54"/>
      <c r="G1976"/>
    </row>
    <row r="1977" spans="1:7" x14ac:dyDescent="0.25">
      <c r="A1977" s="40"/>
      <c r="E1977" s="54"/>
      <c r="G1977"/>
    </row>
    <row r="1978" spans="1:7" x14ac:dyDescent="0.25">
      <c r="A1978" s="40"/>
      <c r="E1978" s="54"/>
      <c r="G1978"/>
    </row>
    <row r="1979" spans="1:7" x14ac:dyDescent="0.25">
      <c r="A1979" s="40"/>
      <c r="E1979" s="54"/>
      <c r="G1979"/>
    </row>
    <row r="1980" spans="1:7" x14ac:dyDescent="0.25">
      <c r="A1980" s="40"/>
      <c r="E1980" s="54"/>
      <c r="G1980"/>
    </row>
    <row r="1981" spans="1:7" x14ac:dyDescent="0.25">
      <c r="A1981" s="40"/>
      <c r="E1981" s="54"/>
      <c r="G1981"/>
    </row>
    <row r="1982" spans="1:7" x14ac:dyDescent="0.25">
      <c r="A1982" s="40"/>
      <c r="E1982" s="54"/>
      <c r="G1982"/>
    </row>
    <row r="1983" spans="1:7" x14ac:dyDescent="0.25">
      <c r="A1983" s="40"/>
      <c r="E1983" s="54"/>
      <c r="G1983"/>
    </row>
    <row r="1984" spans="1:7" x14ac:dyDescent="0.25">
      <c r="A1984" s="40"/>
      <c r="E1984" s="54"/>
      <c r="G1984"/>
    </row>
    <row r="1985" spans="1:7" x14ac:dyDescent="0.25">
      <c r="A1985" s="40"/>
      <c r="E1985" s="54"/>
      <c r="G1985"/>
    </row>
    <row r="1986" spans="1:7" x14ac:dyDescent="0.25">
      <c r="A1986" s="40"/>
      <c r="E1986" s="54"/>
      <c r="G1986"/>
    </row>
    <row r="1987" spans="1:7" x14ac:dyDescent="0.25">
      <c r="A1987" s="40"/>
      <c r="E1987" s="54"/>
      <c r="G1987"/>
    </row>
    <row r="1988" spans="1:7" x14ac:dyDescent="0.25">
      <c r="A1988" s="40"/>
      <c r="E1988" s="54"/>
      <c r="G1988"/>
    </row>
    <row r="1989" spans="1:7" x14ac:dyDescent="0.25">
      <c r="A1989" s="40"/>
      <c r="E1989" s="54"/>
      <c r="G1989"/>
    </row>
    <row r="1990" spans="1:7" x14ac:dyDescent="0.25">
      <c r="A1990" s="40"/>
      <c r="E1990" s="54"/>
      <c r="G1990"/>
    </row>
    <row r="1991" spans="1:7" x14ac:dyDescent="0.25">
      <c r="A1991" s="40"/>
      <c r="E1991" s="54"/>
      <c r="G1991"/>
    </row>
    <row r="1992" spans="1:7" x14ac:dyDescent="0.25">
      <c r="A1992" s="40"/>
      <c r="E1992" s="54"/>
      <c r="G1992"/>
    </row>
    <row r="1993" spans="1:7" x14ac:dyDescent="0.25">
      <c r="A1993" s="40"/>
      <c r="E1993" s="54"/>
      <c r="G1993"/>
    </row>
    <row r="1994" spans="1:7" x14ac:dyDescent="0.25">
      <c r="A1994" s="40"/>
      <c r="E1994" s="54"/>
      <c r="G1994"/>
    </row>
    <row r="1995" spans="1:7" x14ac:dyDescent="0.25">
      <c r="A1995" s="40"/>
      <c r="E1995" s="54"/>
      <c r="G1995"/>
    </row>
    <row r="1996" spans="1:7" x14ac:dyDescent="0.25">
      <c r="A1996" s="40"/>
      <c r="E1996" s="54"/>
      <c r="G1996"/>
    </row>
    <row r="1997" spans="1:7" x14ac:dyDescent="0.25">
      <c r="A1997" s="40"/>
      <c r="E1997" s="54"/>
      <c r="G1997"/>
    </row>
    <row r="1998" spans="1:7" x14ac:dyDescent="0.25">
      <c r="A1998" s="40"/>
      <c r="E1998" s="54"/>
      <c r="G1998"/>
    </row>
    <row r="1999" spans="1:7" x14ac:dyDescent="0.25">
      <c r="A1999" s="40"/>
      <c r="E1999" s="54"/>
      <c r="G1999"/>
    </row>
    <row r="2000" spans="1:7" x14ac:dyDescent="0.25">
      <c r="A2000" s="40"/>
      <c r="E2000" s="54"/>
      <c r="G2000"/>
    </row>
    <row r="2001" spans="1:7" x14ac:dyDescent="0.25">
      <c r="A2001" s="40"/>
      <c r="E2001" s="54"/>
      <c r="G2001"/>
    </row>
    <row r="2002" spans="1:7" x14ac:dyDescent="0.25">
      <c r="A2002" s="39"/>
      <c r="E2002" s="54"/>
      <c r="F2002" s="2"/>
      <c r="G2002"/>
    </row>
    <row r="2003" spans="1:7" x14ac:dyDescent="0.25">
      <c r="A2003" s="39"/>
      <c r="E2003" s="54"/>
      <c r="F2003" s="2"/>
      <c r="G2003"/>
    </row>
    <row r="2004" spans="1:7" x14ac:dyDescent="0.25">
      <c r="A2004" s="39"/>
      <c r="E2004" s="54"/>
      <c r="F2004" s="2"/>
      <c r="G2004"/>
    </row>
    <row r="2005" spans="1:7" x14ac:dyDescent="0.25">
      <c r="A2005" s="39"/>
      <c r="E2005" s="54"/>
      <c r="F2005" s="2"/>
      <c r="G2005"/>
    </row>
    <row r="2006" spans="1:7" x14ac:dyDescent="0.25">
      <c r="A2006" s="39"/>
      <c r="F2006" s="2"/>
      <c r="G2006"/>
    </row>
    <row r="2007" spans="1:7" x14ac:dyDescent="0.25">
      <c r="A2007" s="39"/>
      <c r="F2007" s="2"/>
      <c r="G2007"/>
    </row>
    <row r="2008" spans="1:7" x14ac:dyDescent="0.25">
      <c r="A2008" s="39"/>
      <c r="F2008" s="2"/>
      <c r="G2008"/>
    </row>
    <row r="2009" spans="1:7" x14ac:dyDescent="0.25">
      <c r="A2009" s="39"/>
      <c r="F2009" s="2"/>
      <c r="G2009"/>
    </row>
    <row r="2010" spans="1:7" x14ac:dyDescent="0.25">
      <c r="A2010" s="39"/>
      <c r="F2010" s="2"/>
      <c r="G2010"/>
    </row>
    <row r="2011" spans="1:7" x14ac:dyDescent="0.25">
      <c r="A2011" s="39"/>
      <c r="F2011" s="2"/>
      <c r="G2011"/>
    </row>
    <row r="2012" spans="1:7" x14ac:dyDescent="0.25">
      <c r="A2012" s="45"/>
      <c r="F2012"/>
      <c r="G2012"/>
    </row>
    <row r="2013" spans="1:7" x14ac:dyDescent="0.25">
      <c r="A2013" s="45"/>
      <c r="E2013" s="54"/>
      <c r="F2013"/>
      <c r="G2013"/>
    </row>
    <row r="2014" spans="1:7" x14ac:dyDescent="0.25">
      <c r="A2014" s="40"/>
      <c r="G2014"/>
    </row>
    <row r="2015" spans="1:7" x14ac:dyDescent="0.25">
      <c r="A2015" s="40"/>
      <c r="G2015"/>
    </row>
    <row r="2016" spans="1:7" x14ac:dyDescent="0.25">
      <c r="A2016" s="40"/>
      <c r="G2016"/>
    </row>
    <row r="2017" spans="1:7" x14ac:dyDescent="0.25">
      <c r="A2017" s="40"/>
      <c r="E2017" s="54"/>
      <c r="G2017"/>
    </row>
    <row r="2018" spans="1:7" x14ac:dyDescent="0.25">
      <c r="A2018" s="40"/>
      <c r="E2018" s="54"/>
      <c r="G2018"/>
    </row>
    <row r="2019" spans="1:7" x14ac:dyDescent="0.25">
      <c r="A2019" s="40"/>
      <c r="E2019" s="54"/>
      <c r="G2019"/>
    </row>
    <row r="2020" spans="1:7" x14ac:dyDescent="0.25">
      <c r="A2020" s="40"/>
      <c r="E2020" s="54"/>
      <c r="G2020"/>
    </row>
    <row r="2021" spans="1:7" x14ac:dyDescent="0.25">
      <c r="A2021" s="40"/>
      <c r="E2021" s="54"/>
      <c r="G2021"/>
    </row>
    <row r="2022" spans="1:7" x14ac:dyDescent="0.25">
      <c r="A2022" s="40"/>
      <c r="E2022" s="54"/>
      <c r="G2022"/>
    </row>
    <row r="2023" spans="1:7" x14ac:dyDescent="0.25">
      <c r="A2023" s="40"/>
      <c r="E2023" s="54"/>
      <c r="G2023"/>
    </row>
    <row r="2024" spans="1:7" x14ac:dyDescent="0.25">
      <c r="A2024" s="40"/>
      <c r="E2024" s="54"/>
      <c r="G2024"/>
    </row>
    <row r="2025" spans="1:7" x14ac:dyDescent="0.25">
      <c r="A2025" s="40"/>
      <c r="E2025" s="54"/>
      <c r="G2025"/>
    </row>
    <row r="2026" spans="1:7" x14ac:dyDescent="0.25">
      <c r="A2026" s="40"/>
      <c r="E2026" s="54"/>
      <c r="G2026"/>
    </row>
    <row r="2027" spans="1:7" x14ac:dyDescent="0.25">
      <c r="A2027" s="40"/>
      <c r="E2027" s="54"/>
      <c r="G2027"/>
    </row>
    <row r="2028" spans="1:7" x14ac:dyDescent="0.25">
      <c r="A2028" s="40"/>
      <c r="E2028" s="54"/>
      <c r="G2028"/>
    </row>
    <row r="2029" spans="1:7" x14ac:dyDescent="0.25">
      <c r="A2029" s="40"/>
      <c r="E2029" s="54"/>
      <c r="G2029"/>
    </row>
    <row r="2030" spans="1:7" x14ac:dyDescent="0.25">
      <c r="A2030" s="40"/>
      <c r="E2030" s="54"/>
      <c r="G2030"/>
    </row>
    <row r="2031" spans="1:7" x14ac:dyDescent="0.25">
      <c r="A2031" s="40"/>
      <c r="E2031" s="54"/>
      <c r="G2031"/>
    </row>
    <row r="2032" spans="1:7" x14ac:dyDescent="0.25">
      <c r="A2032" s="40"/>
      <c r="E2032" s="54"/>
      <c r="G2032"/>
    </row>
    <row r="2033" spans="1:7" x14ac:dyDescent="0.25">
      <c r="A2033" s="40"/>
      <c r="E2033" s="54"/>
      <c r="G2033"/>
    </row>
    <row r="2034" spans="1:7" x14ac:dyDescent="0.25">
      <c r="A2034" s="40"/>
      <c r="E2034" s="54"/>
      <c r="G2034"/>
    </row>
    <row r="2035" spans="1:7" x14ac:dyDescent="0.25">
      <c r="A2035" s="40"/>
      <c r="E2035" s="54"/>
      <c r="G2035"/>
    </row>
    <row r="2036" spans="1:7" x14ac:dyDescent="0.25">
      <c r="A2036" s="40"/>
      <c r="E2036" s="54"/>
      <c r="G2036"/>
    </row>
    <row r="2037" spans="1:7" x14ac:dyDescent="0.25">
      <c r="A2037" s="40"/>
      <c r="E2037" s="54"/>
      <c r="G2037"/>
    </row>
    <row r="2038" spans="1:7" x14ac:dyDescent="0.25">
      <c r="A2038" s="40"/>
      <c r="E2038" s="54"/>
      <c r="G2038"/>
    </row>
    <row r="2039" spans="1:7" x14ac:dyDescent="0.25">
      <c r="A2039" s="40"/>
      <c r="E2039" s="54"/>
      <c r="G2039"/>
    </row>
    <row r="2040" spans="1:7" x14ac:dyDescent="0.25">
      <c r="A2040" s="40"/>
      <c r="E2040" s="54"/>
      <c r="G2040"/>
    </row>
    <row r="2041" spans="1:7" x14ac:dyDescent="0.25">
      <c r="A2041" s="40"/>
      <c r="E2041" s="54"/>
      <c r="G2041"/>
    </row>
    <row r="2042" spans="1:7" x14ac:dyDescent="0.25">
      <c r="A2042" s="40"/>
      <c r="E2042" s="54"/>
      <c r="G2042"/>
    </row>
    <row r="2043" spans="1:7" x14ac:dyDescent="0.25">
      <c r="A2043" s="40"/>
      <c r="E2043" s="54"/>
      <c r="G2043"/>
    </row>
    <row r="2044" spans="1:7" x14ac:dyDescent="0.25">
      <c r="A2044" s="40"/>
      <c r="E2044" s="54"/>
      <c r="G2044"/>
    </row>
    <row r="2045" spans="1:7" x14ac:dyDescent="0.25">
      <c r="A2045" s="40"/>
      <c r="E2045" s="54"/>
      <c r="G2045"/>
    </row>
    <row r="2046" spans="1:7" x14ac:dyDescent="0.25">
      <c r="A2046" s="40"/>
      <c r="E2046" s="54"/>
      <c r="G2046"/>
    </row>
    <row r="2047" spans="1:7" x14ac:dyDescent="0.25">
      <c r="A2047" s="40"/>
      <c r="E2047" s="54"/>
      <c r="G2047"/>
    </row>
    <row r="2048" spans="1:7" x14ac:dyDescent="0.25">
      <c r="A2048" s="40"/>
      <c r="E2048" s="54"/>
      <c r="G2048"/>
    </row>
    <row r="2049" spans="1:7" x14ac:dyDescent="0.25">
      <c r="A2049" s="40"/>
      <c r="E2049" s="54"/>
      <c r="G2049"/>
    </row>
    <row r="2050" spans="1:7" x14ac:dyDescent="0.25">
      <c r="A2050" s="40"/>
      <c r="E2050" s="54"/>
      <c r="G2050"/>
    </row>
    <row r="2051" spans="1:7" x14ac:dyDescent="0.25">
      <c r="A2051" s="40"/>
      <c r="E2051" s="54"/>
      <c r="G2051"/>
    </row>
    <row r="2052" spans="1:7" x14ac:dyDescent="0.25">
      <c r="A2052" s="40"/>
      <c r="E2052" s="54"/>
      <c r="G2052"/>
    </row>
    <row r="2053" spans="1:7" x14ac:dyDescent="0.25">
      <c r="A2053" s="40"/>
      <c r="E2053" s="54"/>
      <c r="G2053"/>
    </row>
    <row r="2054" spans="1:7" x14ac:dyDescent="0.25">
      <c r="A2054" s="40"/>
      <c r="E2054" s="54"/>
      <c r="G2054"/>
    </row>
    <row r="2055" spans="1:7" x14ac:dyDescent="0.25">
      <c r="A2055" s="40"/>
      <c r="E2055" s="54"/>
      <c r="G2055"/>
    </row>
    <row r="2056" spans="1:7" x14ac:dyDescent="0.25">
      <c r="A2056" s="40"/>
      <c r="E2056" s="54"/>
      <c r="G2056"/>
    </row>
    <row r="2057" spans="1:7" x14ac:dyDescent="0.25">
      <c r="A2057" s="40"/>
      <c r="E2057" s="54"/>
      <c r="G2057"/>
    </row>
    <row r="2058" spans="1:7" x14ac:dyDescent="0.25">
      <c r="A2058" s="40"/>
      <c r="E2058" s="54"/>
      <c r="G2058"/>
    </row>
    <row r="2059" spans="1:7" x14ac:dyDescent="0.25">
      <c r="A2059" s="40"/>
      <c r="E2059" s="54"/>
      <c r="G2059"/>
    </row>
    <row r="2060" spans="1:7" x14ac:dyDescent="0.25">
      <c r="A2060" s="40"/>
      <c r="E2060" s="54"/>
      <c r="G2060"/>
    </row>
    <row r="2061" spans="1:7" x14ac:dyDescent="0.25">
      <c r="A2061" s="40"/>
      <c r="E2061" s="54"/>
      <c r="G2061"/>
    </row>
    <row r="2062" spans="1:7" x14ac:dyDescent="0.25">
      <c r="A2062" s="40"/>
      <c r="E2062" s="54"/>
      <c r="G2062"/>
    </row>
    <row r="2063" spans="1:7" x14ac:dyDescent="0.25">
      <c r="A2063" s="40"/>
      <c r="E2063" s="54"/>
      <c r="G2063"/>
    </row>
    <row r="2064" spans="1:7" x14ac:dyDescent="0.25">
      <c r="A2064" s="40"/>
      <c r="E2064" s="54"/>
      <c r="G2064"/>
    </row>
    <row r="2065" spans="1:7" x14ac:dyDescent="0.25">
      <c r="A2065" s="40"/>
      <c r="E2065" s="54"/>
      <c r="G2065"/>
    </row>
    <row r="2066" spans="1:7" x14ac:dyDescent="0.25">
      <c r="A2066" s="40"/>
      <c r="E2066" s="54"/>
      <c r="G2066"/>
    </row>
    <row r="2067" spans="1:7" x14ac:dyDescent="0.25">
      <c r="A2067" s="40"/>
      <c r="E2067" s="54"/>
      <c r="G2067"/>
    </row>
    <row r="2068" spans="1:7" x14ac:dyDescent="0.25">
      <c r="A2068" s="40"/>
      <c r="E2068" s="54"/>
      <c r="G2068"/>
    </row>
    <row r="2069" spans="1:7" x14ac:dyDescent="0.25">
      <c r="A2069" s="40"/>
      <c r="E2069" s="54"/>
      <c r="G2069"/>
    </row>
    <row r="2070" spans="1:7" x14ac:dyDescent="0.25">
      <c r="A2070" s="40"/>
      <c r="E2070" s="54"/>
      <c r="G2070"/>
    </row>
    <row r="2071" spans="1:7" x14ac:dyDescent="0.25">
      <c r="A2071" s="40"/>
      <c r="E2071" s="54"/>
      <c r="G2071"/>
    </row>
    <row r="2072" spans="1:7" x14ac:dyDescent="0.25">
      <c r="A2072" s="40"/>
      <c r="E2072" s="54"/>
      <c r="G2072"/>
    </row>
    <row r="2073" spans="1:7" x14ac:dyDescent="0.25">
      <c r="A2073" s="40"/>
      <c r="E2073" s="54"/>
      <c r="G2073"/>
    </row>
    <row r="2074" spans="1:7" x14ac:dyDescent="0.25">
      <c r="A2074" s="40"/>
      <c r="E2074" s="54"/>
      <c r="G2074"/>
    </row>
    <row r="2075" spans="1:7" x14ac:dyDescent="0.25">
      <c r="A2075" s="40"/>
      <c r="E2075" s="54"/>
      <c r="G2075"/>
    </row>
    <row r="2076" spans="1:7" x14ac:dyDescent="0.25">
      <c r="A2076" s="40"/>
      <c r="E2076" s="54"/>
      <c r="G2076"/>
    </row>
    <row r="2077" spans="1:7" x14ac:dyDescent="0.25">
      <c r="A2077" s="40"/>
      <c r="E2077" s="54"/>
      <c r="G2077"/>
    </row>
    <row r="2078" spans="1:7" x14ac:dyDescent="0.25">
      <c r="A2078" s="40"/>
      <c r="E2078" s="54"/>
      <c r="G2078"/>
    </row>
    <row r="2079" spans="1:7" x14ac:dyDescent="0.25">
      <c r="A2079" s="40"/>
      <c r="E2079" s="54"/>
      <c r="G2079"/>
    </row>
    <row r="2080" spans="1:7" x14ac:dyDescent="0.25">
      <c r="A2080" s="40"/>
      <c r="E2080" s="54"/>
      <c r="G2080"/>
    </row>
    <row r="2081" spans="1:7" x14ac:dyDescent="0.25">
      <c r="A2081" s="40"/>
      <c r="E2081" s="54"/>
      <c r="G2081"/>
    </row>
    <row r="2082" spans="1:7" x14ac:dyDescent="0.25">
      <c r="A2082" s="40"/>
      <c r="E2082" s="54"/>
      <c r="G2082"/>
    </row>
    <row r="2083" spans="1:7" x14ac:dyDescent="0.25">
      <c r="A2083" s="40"/>
      <c r="E2083" s="54"/>
      <c r="G2083"/>
    </row>
    <row r="2084" spans="1:7" x14ac:dyDescent="0.25">
      <c r="A2084" s="40"/>
      <c r="E2084" s="54"/>
      <c r="G2084"/>
    </row>
    <row r="2085" spans="1:7" x14ac:dyDescent="0.25">
      <c r="A2085" s="40"/>
      <c r="E2085" s="54"/>
      <c r="G2085"/>
    </row>
    <row r="2086" spans="1:7" x14ac:dyDescent="0.25">
      <c r="A2086" s="40"/>
      <c r="E2086" s="54"/>
      <c r="G2086"/>
    </row>
    <row r="2087" spans="1:7" x14ac:dyDescent="0.25">
      <c r="A2087" s="40"/>
      <c r="E2087" s="54"/>
      <c r="G2087"/>
    </row>
    <row r="2088" spans="1:7" x14ac:dyDescent="0.25">
      <c r="A2088" s="40"/>
      <c r="E2088" s="54"/>
      <c r="G2088"/>
    </row>
    <row r="2089" spans="1:7" x14ac:dyDescent="0.25">
      <c r="A2089" s="40"/>
      <c r="E2089" s="54"/>
      <c r="G2089"/>
    </row>
    <row r="2090" spans="1:7" x14ac:dyDescent="0.25">
      <c r="A2090" s="40"/>
      <c r="E2090" s="54"/>
      <c r="G2090"/>
    </row>
    <row r="2091" spans="1:7" x14ac:dyDescent="0.25">
      <c r="A2091" s="40"/>
      <c r="E2091" s="54"/>
      <c r="G2091"/>
    </row>
    <row r="2092" spans="1:7" x14ac:dyDescent="0.25">
      <c r="A2092" s="40"/>
      <c r="E2092" s="54"/>
      <c r="G2092"/>
    </row>
    <row r="2093" spans="1:7" x14ac:dyDescent="0.25">
      <c r="A2093" s="40"/>
      <c r="E2093" s="54"/>
      <c r="G2093"/>
    </row>
    <row r="2094" spans="1:7" x14ac:dyDescent="0.25">
      <c r="A2094" s="40"/>
      <c r="E2094" s="54"/>
      <c r="G2094"/>
    </row>
    <row r="2095" spans="1:7" x14ac:dyDescent="0.25">
      <c r="A2095" s="40"/>
      <c r="E2095" s="54"/>
      <c r="G2095"/>
    </row>
    <row r="2096" spans="1:7" x14ac:dyDescent="0.25">
      <c r="A2096" s="40"/>
      <c r="E2096" s="54"/>
      <c r="G2096"/>
    </row>
    <row r="2097" spans="1:7" x14ac:dyDescent="0.25">
      <c r="A2097" s="40"/>
      <c r="E2097" s="54"/>
      <c r="G2097"/>
    </row>
    <row r="2098" spans="1:7" x14ac:dyDescent="0.25">
      <c r="A2098" s="40"/>
      <c r="E2098" s="54"/>
      <c r="G2098"/>
    </row>
    <row r="2099" spans="1:7" x14ac:dyDescent="0.25">
      <c r="A2099" s="40"/>
      <c r="E2099" s="54"/>
      <c r="G2099"/>
    </row>
    <row r="2100" spans="1:7" x14ac:dyDescent="0.25">
      <c r="A2100" s="40"/>
      <c r="E2100" s="54"/>
      <c r="G2100"/>
    </row>
    <row r="2101" spans="1:7" x14ac:dyDescent="0.25">
      <c r="A2101" s="40"/>
      <c r="E2101" s="54"/>
      <c r="G2101"/>
    </row>
    <row r="2102" spans="1:7" x14ac:dyDescent="0.25">
      <c r="A2102" s="40"/>
      <c r="E2102" s="54"/>
      <c r="G2102"/>
    </row>
    <row r="2103" spans="1:7" x14ac:dyDescent="0.25">
      <c r="A2103" s="40"/>
      <c r="E2103" s="54"/>
      <c r="G2103"/>
    </row>
    <row r="2104" spans="1:7" x14ac:dyDescent="0.25">
      <c r="A2104" s="40"/>
      <c r="E2104" s="54"/>
      <c r="G2104"/>
    </row>
    <row r="2105" spans="1:7" x14ac:dyDescent="0.25">
      <c r="A2105" s="40"/>
      <c r="E2105" s="54"/>
      <c r="G2105"/>
    </row>
    <row r="2106" spans="1:7" x14ac:dyDescent="0.25">
      <c r="A2106" s="40"/>
      <c r="E2106" s="54"/>
      <c r="G2106"/>
    </row>
    <row r="2107" spans="1:7" x14ac:dyDescent="0.25">
      <c r="A2107" s="40"/>
      <c r="E2107" s="54"/>
      <c r="G2107"/>
    </row>
    <row r="2108" spans="1:7" x14ac:dyDescent="0.25">
      <c r="A2108" s="40"/>
      <c r="E2108" s="54"/>
      <c r="G2108"/>
    </row>
    <row r="2109" spans="1:7" x14ac:dyDescent="0.25">
      <c r="A2109" s="40"/>
      <c r="E2109" s="54"/>
      <c r="G2109"/>
    </row>
    <row r="2110" spans="1:7" x14ac:dyDescent="0.25">
      <c r="A2110" s="40"/>
      <c r="E2110" s="54"/>
      <c r="G2110"/>
    </row>
    <row r="2111" spans="1:7" x14ac:dyDescent="0.25">
      <c r="A2111" s="40"/>
      <c r="E2111" s="54"/>
      <c r="G2111"/>
    </row>
    <row r="2112" spans="1:7" x14ac:dyDescent="0.25">
      <c r="A2112" s="40"/>
      <c r="E2112" s="54"/>
      <c r="G2112"/>
    </row>
    <row r="2113" spans="1:7" x14ac:dyDescent="0.25">
      <c r="A2113" s="40"/>
      <c r="E2113" s="54"/>
      <c r="G2113"/>
    </row>
    <row r="2114" spans="1:7" x14ac:dyDescent="0.25">
      <c r="A2114" s="40"/>
      <c r="E2114" s="54"/>
      <c r="G2114"/>
    </row>
    <row r="2115" spans="1:7" x14ac:dyDescent="0.25">
      <c r="A2115" s="40"/>
      <c r="E2115" s="54"/>
      <c r="G2115"/>
    </row>
    <row r="2116" spans="1:7" x14ac:dyDescent="0.25">
      <c r="A2116" s="40"/>
      <c r="E2116" s="54"/>
      <c r="G2116"/>
    </row>
    <row r="2117" spans="1:7" x14ac:dyDescent="0.25">
      <c r="A2117" s="40"/>
      <c r="E2117" s="54"/>
      <c r="G2117"/>
    </row>
    <row r="2118" spans="1:7" x14ac:dyDescent="0.25">
      <c r="A2118" s="40"/>
      <c r="E2118" s="54"/>
      <c r="G2118"/>
    </row>
    <row r="2119" spans="1:7" x14ac:dyDescent="0.25">
      <c r="A2119" s="40"/>
      <c r="E2119" s="54"/>
      <c r="G2119"/>
    </row>
    <row r="2120" spans="1:7" x14ac:dyDescent="0.25">
      <c r="A2120" s="40"/>
      <c r="E2120" s="54"/>
      <c r="G2120"/>
    </row>
    <row r="2121" spans="1:7" x14ac:dyDescent="0.25">
      <c r="A2121" s="40"/>
      <c r="E2121" s="54"/>
      <c r="G2121"/>
    </row>
    <row r="2122" spans="1:7" x14ac:dyDescent="0.25">
      <c r="A2122" s="40"/>
      <c r="E2122" s="54"/>
      <c r="G2122"/>
    </row>
    <row r="2123" spans="1:7" x14ac:dyDescent="0.25">
      <c r="A2123" s="40"/>
      <c r="E2123" s="54"/>
      <c r="G2123"/>
    </row>
    <row r="2124" spans="1:7" x14ac:dyDescent="0.25">
      <c r="A2124" s="40"/>
      <c r="E2124" s="54"/>
      <c r="G2124"/>
    </row>
    <row r="2125" spans="1:7" x14ac:dyDescent="0.25">
      <c r="A2125" s="40"/>
      <c r="E2125" s="54"/>
      <c r="G2125"/>
    </row>
    <row r="2126" spans="1:7" x14ac:dyDescent="0.25">
      <c r="A2126" s="40"/>
      <c r="E2126" s="54"/>
      <c r="G2126"/>
    </row>
    <row r="2127" spans="1:7" x14ac:dyDescent="0.25">
      <c r="A2127" s="40"/>
      <c r="E2127" s="54"/>
      <c r="G2127"/>
    </row>
    <row r="2128" spans="1:7" x14ac:dyDescent="0.25">
      <c r="A2128" s="40"/>
      <c r="E2128" s="54"/>
      <c r="G2128"/>
    </row>
    <row r="2129" spans="1:7" x14ac:dyDescent="0.25">
      <c r="A2129" s="40"/>
      <c r="E2129" s="54"/>
      <c r="G2129"/>
    </row>
    <row r="2130" spans="1:7" x14ac:dyDescent="0.25">
      <c r="A2130" s="40"/>
      <c r="E2130" s="54"/>
      <c r="G2130"/>
    </row>
    <row r="2131" spans="1:7" x14ac:dyDescent="0.25">
      <c r="A2131" s="40"/>
      <c r="E2131" s="54"/>
      <c r="G2131"/>
    </row>
    <row r="2132" spans="1:7" x14ac:dyDescent="0.25">
      <c r="A2132" s="40"/>
      <c r="E2132" s="54"/>
      <c r="G2132"/>
    </row>
    <row r="2133" spans="1:7" x14ac:dyDescent="0.25">
      <c r="A2133" s="40"/>
      <c r="E2133" s="54"/>
      <c r="G2133"/>
    </row>
    <row r="2134" spans="1:7" x14ac:dyDescent="0.25">
      <c r="A2134" s="40"/>
      <c r="E2134" s="54"/>
      <c r="G2134"/>
    </row>
    <row r="2135" spans="1:7" x14ac:dyDescent="0.25">
      <c r="A2135" s="40"/>
      <c r="E2135" s="54"/>
      <c r="G2135"/>
    </row>
    <row r="2136" spans="1:7" x14ac:dyDescent="0.25">
      <c r="A2136" s="40"/>
      <c r="E2136" s="54"/>
      <c r="G2136"/>
    </row>
    <row r="2137" spans="1:7" x14ac:dyDescent="0.25">
      <c r="A2137" s="40"/>
      <c r="E2137" s="54"/>
      <c r="G2137"/>
    </row>
    <row r="2138" spans="1:7" x14ac:dyDescent="0.25">
      <c r="A2138" s="40"/>
      <c r="E2138" s="54"/>
      <c r="G2138"/>
    </row>
    <row r="2139" spans="1:7" x14ac:dyDescent="0.25">
      <c r="A2139" s="40"/>
      <c r="E2139" s="54"/>
      <c r="G2139"/>
    </row>
    <row r="2140" spans="1:7" x14ac:dyDescent="0.25">
      <c r="A2140" s="40"/>
      <c r="E2140" s="54"/>
      <c r="G2140"/>
    </row>
    <row r="2141" spans="1:7" x14ac:dyDescent="0.25">
      <c r="A2141" s="40"/>
      <c r="E2141" s="54"/>
      <c r="G2141"/>
    </row>
    <row r="2142" spans="1:7" x14ac:dyDescent="0.25">
      <c r="A2142" s="40"/>
      <c r="E2142" s="54"/>
      <c r="G2142"/>
    </row>
    <row r="2143" spans="1:7" x14ac:dyDescent="0.25">
      <c r="A2143" s="40"/>
      <c r="E2143" s="54"/>
      <c r="G2143"/>
    </row>
    <row r="2144" spans="1:7" x14ac:dyDescent="0.25">
      <c r="A2144" s="40"/>
      <c r="E2144" s="54"/>
      <c r="G2144"/>
    </row>
    <row r="2145" spans="1:7" x14ac:dyDescent="0.25">
      <c r="A2145" s="40"/>
      <c r="E2145" s="54"/>
      <c r="G2145"/>
    </row>
    <row r="2146" spans="1:7" x14ac:dyDescent="0.25">
      <c r="A2146" s="40"/>
      <c r="E2146" s="54"/>
      <c r="G2146"/>
    </row>
    <row r="2147" spans="1:7" x14ac:dyDescent="0.25">
      <c r="A2147" s="40"/>
      <c r="E2147" s="54"/>
      <c r="G2147"/>
    </row>
    <row r="2148" spans="1:7" x14ac:dyDescent="0.25">
      <c r="A2148" s="40"/>
      <c r="E2148" s="54"/>
      <c r="G2148"/>
    </row>
    <row r="2149" spans="1:7" x14ac:dyDescent="0.25">
      <c r="A2149" s="40"/>
      <c r="E2149" s="54"/>
      <c r="G2149"/>
    </row>
    <row r="2150" spans="1:7" x14ac:dyDescent="0.25">
      <c r="A2150" s="40"/>
      <c r="E2150" s="54"/>
      <c r="G2150"/>
    </row>
    <row r="2151" spans="1:7" x14ac:dyDescent="0.25">
      <c r="A2151" s="40"/>
      <c r="E2151" s="54"/>
      <c r="G2151"/>
    </row>
    <row r="2152" spans="1:7" x14ac:dyDescent="0.25">
      <c r="A2152" s="40"/>
      <c r="E2152" s="54"/>
      <c r="G2152"/>
    </row>
    <row r="2153" spans="1:7" x14ac:dyDescent="0.25">
      <c r="A2153" s="40"/>
      <c r="E2153" s="54"/>
      <c r="G2153"/>
    </row>
    <row r="2154" spans="1:7" x14ac:dyDescent="0.25">
      <c r="A2154" s="40"/>
      <c r="E2154" s="54"/>
      <c r="G2154"/>
    </row>
    <row r="2155" spans="1:7" x14ac:dyDescent="0.25">
      <c r="A2155" s="40"/>
      <c r="E2155" s="54"/>
      <c r="G2155"/>
    </row>
    <row r="2156" spans="1:7" x14ac:dyDescent="0.25">
      <c r="A2156" s="40"/>
      <c r="E2156" s="54"/>
      <c r="G2156"/>
    </row>
    <row r="2157" spans="1:7" x14ac:dyDescent="0.25">
      <c r="A2157" s="40"/>
      <c r="E2157" s="54"/>
      <c r="G2157"/>
    </row>
    <row r="2158" spans="1:7" x14ac:dyDescent="0.25">
      <c r="A2158" s="40"/>
      <c r="E2158" s="54"/>
      <c r="G2158"/>
    </row>
    <row r="2159" spans="1:7" x14ac:dyDescent="0.25">
      <c r="A2159" s="40"/>
      <c r="E2159" s="54"/>
      <c r="G2159"/>
    </row>
    <row r="2160" spans="1:7" x14ac:dyDescent="0.25">
      <c r="A2160" s="40"/>
      <c r="E2160" s="54"/>
      <c r="G2160"/>
    </row>
    <row r="2161" spans="1:7" x14ac:dyDescent="0.25">
      <c r="A2161" s="40"/>
      <c r="E2161" s="54"/>
      <c r="G2161"/>
    </row>
    <row r="2162" spans="1:7" x14ac:dyDescent="0.25">
      <c r="A2162" s="40"/>
      <c r="E2162" s="54"/>
      <c r="G2162"/>
    </row>
    <row r="2163" spans="1:7" x14ac:dyDescent="0.25">
      <c r="A2163" s="40"/>
      <c r="E2163" s="54"/>
      <c r="G2163"/>
    </row>
    <row r="2164" spans="1:7" x14ac:dyDescent="0.25">
      <c r="A2164" s="40"/>
      <c r="E2164" s="54"/>
      <c r="G2164"/>
    </row>
    <row r="2165" spans="1:7" x14ac:dyDescent="0.25">
      <c r="A2165" s="40"/>
      <c r="E2165" s="54"/>
      <c r="G2165"/>
    </row>
    <row r="2166" spans="1:7" x14ac:dyDescent="0.25">
      <c r="A2166" s="40"/>
      <c r="E2166" s="54"/>
      <c r="G2166"/>
    </row>
    <row r="2167" spans="1:7" x14ac:dyDescent="0.25">
      <c r="A2167" s="40"/>
      <c r="E2167" s="54"/>
      <c r="G2167"/>
    </row>
    <row r="2168" spans="1:7" x14ac:dyDescent="0.25">
      <c r="A2168" s="40"/>
      <c r="E2168" s="54"/>
      <c r="G2168"/>
    </row>
    <row r="2169" spans="1:7" x14ac:dyDescent="0.25">
      <c r="A2169" s="40"/>
      <c r="E2169" s="54"/>
      <c r="G2169"/>
    </row>
    <row r="2170" spans="1:7" x14ac:dyDescent="0.25">
      <c r="A2170" s="40"/>
      <c r="E2170" s="54"/>
      <c r="G2170"/>
    </row>
    <row r="2171" spans="1:7" x14ac:dyDescent="0.25">
      <c r="A2171" s="40"/>
      <c r="E2171" s="54"/>
      <c r="G2171"/>
    </row>
    <row r="2172" spans="1:7" x14ac:dyDescent="0.25">
      <c r="A2172" s="40"/>
      <c r="E2172" s="54"/>
      <c r="G2172"/>
    </row>
    <row r="2173" spans="1:7" x14ac:dyDescent="0.25">
      <c r="A2173" s="40"/>
      <c r="E2173" s="54"/>
      <c r="G2173"/>
    </row>
    <row r="2174" spans="1:7" x14ac:dyDescent="0.25">
      <c r="A2174" s="40"/>
      <c r="E2174" s="54"/>
      <c r="G2174"/>
    </row>
    <row r="2175" spans="1:7" x14ac:dyDescent="0.25">
      <c r="A2175" s="40"/>
      <c r="E2175" s="54"/>
      <c r="G2175"/>
    </row>
    <row r="2176" spans="1:7" x14ac:dyDescent="0.25">
      <c r="A2176" s="40"/>
      <c r="E2176" s="54"/>
      <c r="G2176"/>
    </row>
    <row r="2177" spans="1:7" x14ac:dyDescent="0.25">
      <c r="A2177" s="40"/>
      <c r="E2177" s="54"/>
      <c r="G2177"/>
    </row>
    <row r="2178" spans="1:7" x14ac:dyDescent="0.25">
      <c r="A2178" s="40"/>
      <c r="E2178" s="54"/>
      <c r="G2178"/>
    </row>
    <row r="2179" spans="1:7" x14ac:dyDescent="0.25">
      <c r="A2179" s="40"/>
      <c r="E2179" s="54"/>
      <c r="G2179"/>
    </row>
    <row r="2180" spans="1:7" x14ac:dyDescent="0.25">
      <c r="A2180" s="40"/>
      <c r="E2180" s="54"/>
      <c r="G2180"/>
    </row>
    <row r="2181" spans="1:7" x14ac:dyDescent="0.25">
      <c r="A2181" s="40"/>
      <c r="E2181" s="54"/>
      <c r="G2181"/>
    </row>
    <row r="2182" spans="1:7" x14ac:dyDescent="0.25">
      <c r="A2182" s="40"/>
      <c r="E2182" s="54"/>
      <c r="G2182"/>
    </row>
    <row r="2183" spans="1:7" x14ac:dyDescent="0.25">
      <c r="A2183" s="40"/>
      <c r="E2183" s="54"/>
      <c r="G2183"/>
    </row>
    <row r="2184" spans="1:7" x14ac:dyDescent="0.25">
      <c r="A2184" s="40"/>
      <c r="E2184" s="54"/>
      <c r="G2184"/>
    </row>
    <row r="2185" spans="1:7" x14ac:dyDescent="0.25">
      <c r="A2185" s="40"/>
      <c r="E2185" s="54"/>
      <c r="G2185"/>
    </row>
    <row r="2186" spans="1:7" x14ac:dyDescent="0.25">
      <c r="A2186" s="40"/>
      <c r="E2186" s="54"/>
      <c r="G2186"/>
    </row>
    <row r="2187" spans="1:7" x14ac:dyDescent="0.25">
      <c r="A2187" s="40"/>
      <c r="E2187" s="54"/>
      <c r="G2187"/>
    </row>
    <row r="2188" spans="1:7" x14ac:dyDescent="0.25">
      <c r="A2188" s="40"/>
      <c r="E2188" s="54"/>
      <c r="G2188"/>
    </row>
    <row r="2189" spans="1:7" x14ac:dyDescent="0.25">
      <c r="A2189" s="40"/>
      <c r="E2189" s="54"/>
      <c r="G2189"/>
    </row>
    <row r="2190" spans="1:7" x14ac:dyDescent="0.25">
      <c r="A2190" s="40"/>
      <c r="E2190" s="54"/>
      <c r="G2190"/>
    </row>
    <row r="2191" spans="1:7" x14ac:dyDescent="0.25">
      <c r="A2191" s="40"/>
      <c r="E2191" s="54"/>
      <c r="G2191"/>
    </row>
    <row r="2192" spans="1:7" x14ac:dyDescent="0.25">
      <c r="A2192" s="40"/>
      <c r="E2192" s="54"/>
      <c r="G2192"/>
    </row>
    <row r="2193" spans="1:7" x14ac:dyDescent="0.25">
      <c r="A2193" s="40"/>
      <c r="E2193" s="54"/>
      <c r="G2193"/>
    </row>
    <row r="2194" spans="1:7" x14ac:dyDescent="0.25">
      <c r="A2194" s="40"/>
      <c r="E2194" s="54"/>
      <c r="G2194"/>
    </row>
    <row r="2195" spans="1:7" x14ac:dyDescent="0.25">
      <c r="A2195" s="40"/>
      <c r="E2195" s="54"/>
      <c r="G2195"/>
    </row>
    <row r="2196" spans="1:7" x14ac:dyDescent="0.25">
      <c r="A2196" s="40"/>
      <c r="E2196" s="54"/>
      <c r="G2196"/>
    </row>
    <row r="2197" spans="1:7" x14ac:dyDescent="0.25">
      <c r="A2197" s="40"/>
      <c r="E2197" s="54"/>
      <c r="G2197"/>
    </row>
    <row r="2198" spans="1:7" x14ac:dyDescent="0.25">
      <c r="A2198" s="40"/>
      <c r="E2198" s="54"/>
      <c r="G2198"/>
    </row>
    <row r="2199" spans="1:7" x14ac:dyDescent="0.25">
      <c r="A2199" s="40"/>
      <c r="E2199" s="54"/>
      <c r="G2199"/>
    </row>
    <row r="2200" spans="1:7" x14ac:dyDescent="0.25">
      <c r="A2200" s="40"/>
      <c r="E2200" s="54"/>
      <c r="G2200"/>
    </row>
    <row r="2201" spans="1:7" x14ac:dyDescent="0.25">
      <c r="A2201" s="40"/>
      <c r="E2201" s="54"/>
      <c r="G2201"/>
    </row>
    <row r="2202" spans="1:7" x14ac:dyDescent="0.25">
      <c r="A2202" s="40"/>
      <c r="E2202" s="54"/>
      <c r="G2202"/>
    </row>
    <row r="2203" spans="1:7" x14ac:dyDescent="0.25">
      <c r="A2203" s="40"/>
      <c r="E2203" s="54"/>
      <c r="G2203"/>
    </row>
    <row r="2204" spans="1:7" x14ac:dyDescent="0.25">
      <c r="A2204" s="40"/>
      <c r="E2204" s="54"/>
      <c r="G2204"/>
    </row>
    <row r="2205" spans="1:7" x14ac:dyDescent="0.25">
      <c r="A2205" s="40"/>
      <c r="E2205" s="54"/>
      <c r="G2205"/>
    </row>
    <row r="2206" spans="1:7" x14ac:dyDescent="0.25">
      <c r="A2206" s="40"/>
      <c r="E2206" s="54"/>
      <c r="G2206"/>
    </row>
    <row r="2207" spans="1:7" x14ac:dyDescent="0.25">
      <c r="A2207" s="40"/>
      <c r="E2207" s="54"/>
      <c r="G2207"/>
    </row>
    <row r="2208" spans="1:7" x14ac:dyDescent="0.25">
      <c r="A2208" s="40"/>
      <c r="E2208" s="54"/>
      <c r="G2208"/>
    </row>
    <row r="2209" spans="1:7" x14ac:dyDescent="0.25">
      <c r="A2209" s="40"/>
      <c r="E2209" s="54"/>
      <c r="G2209"/>
    </row>
    <row r="2210" spans="1:7" x14ac:dyDescent="0.25">
      <c r="A2210" s="40"/>
      <c r="E2210" s="54"/>
      <c r="G2210"/>
    </row>
    <row r="2211" spans="1:7" x14ac:dyDescent="0.25">
      <c r="A2211" s="40"/>
      <c r="E2211" s="54"/>
      <c r="G2211"/>
    </row>
    <row r="2212" spans="1:7" x14ac:dyDescent="0.25">
      <c r="A2212" s="40"/>
      <c r="E2212" s="54"/>
      <c r="G2212"/>
    </row>
    <row r="2213" spans="1:7" x14ac:dyDescent="0.25">
      <c r="A2213" s="40"/>
      <c r="E2213" s="54"/>
      <c r="G2213"/>
    </row>
    <row r="2214" spans="1:7" x14ac:dyDescent="0.25">
      <c r="A2214" s="40"/>
      <c r="E2214" s="54"/>
      <c r="G2214"/>
    </row>
    <row r="2215" spans="1:7" x14ac:dyDescent="0.25">
      <c r="A2215" s="40"/>
      <c r="E2215" s="54"/>
      <c r="G2215"/>
    </row>
    <row r="2216" spans="1:7" x14ac:dyDescent="0.25">
      <c r="A2216" s="40"/>
      <c r="E2216" s="54"/>
      <c r="G2216"/>
    </row>
    <row r="2217" spans="1:7" x14ac:dyDescent="0.25">
      <c r="A2217" s="40"/>
      <c r="E2217" s="54"/>
      <c r="G2217"/>
    </row>
    <row r="2218" spans="1:7" x14ac:dyDescent="0.25">
      <c r="A2218" s="40"/>
      <c r="E2218" s="54"/>
      <c r="G2218"/>
    </row>
    <row r="2219" spans="1:7" x14ac:dyDescent="0.25">
      <c r="A2219" s="40"/>
      <c r="E2219" s="54"/>
      <c r="G2219"/>
    </row>
    <row r="2220" spans="1:7" x14ac:dyDescent="0.25">
      <c r="A2220" s="40"/>
      <c r="E2220" s="54"/>
      <c r="G2220"/>
    </row>
    <row r="2221" spans="1:7" x14ac:dyDescent="0.25">
      <c r="A2221" s="40"/>
      <c r="E2221" s="54"/>
      <c r="G2221"/>
    </row>
    <row r="2222" spans="1:7" x14ac:dyDescent="0.25">
      <c r="A2222" s="40"/>
      <c r="E2222" s="54"/>
      <c r="G2222"/>
    </row>
    <row r="2223" spans="1:7" x14ac:dyDescent="0.25">
      <c r="A2223" s="40"/>
      <c r="E2223" s="54"/>
      <c r="G2223"/>
    </row>
    <row r="2224" spans="1:7" x14ac:dyDescent="0.25">
      <c r="A2224" s="40"/>
      <c r="E2224" s="54"/>
      <c r="G2224"/>
    </row>
    <row r="2225" spans="1:7" x14ac:dyDescent="0.25">
      <c r="A2225" s="40"/>
      <c r="E2225" s="54"/>
      <c r="G2225"/>
    </row>
    <row r="2226" spans="1:7" x14ac:dyDescent="0.25">
      <c r="A2226" s="40"/>
      <c r="E2226" s="54"/>
      <c r="G2226"/>
    </row>
    <row r="2227" spans="1:7" x14ac:dyDescent="0.25">
      <c r="A2227" s="40"/>
      <c r="E2227" s="54"/>
      <c r="G2227"/>
    </row>
    <row r="2228" spans="1:7" x14ac:dyDescent="0.25">
      <c r="A2228" s="40"/>
      <c r="E2228" s="54"/>
      <c r="G2228"/>
    </row>
    <row r="2229" spans="1:7" x14ac:dyDescent="0.25">
      <c r="A2229" s="40"/>
      <c r="E2229" s="54"/>
      <c r="G2229"/>
    </row>
    <row r="2230" spans="1:7" x14ac:dyDescent="0.25">
      <c r="A2230" s="40"/>
      <c r="E2230" s="54"/>
      <c r="G2230"/>
    </row>
    <row r="2231" spans="1:7" x14ac:dyDescent="0.25">
      <c r="A2231" s="40"/>
      <c r="E2231" s="54"/>
      <c r="G2231"/>
    </row>
    <row r="2232" spans="1:7" x14ac:dyDescent="0.25">
      <c r="A2232" s="40"/>
      <c r="E2232" s="54"/>
      <c r="G2232"/>
    </row>
    <row r="2233" spans="1:7" x14ac:dyDescent="0.25">
      <c r="A2233" s="40"/>
      <c r="E2233" s="54"/>
      <c r="G2233"/>
    </row>
    <row r="2234" spans="1:7" x14ac:dyDescent="0.25">
      <c r="A2234" s="40"/>
      <c r="E2234" s="54"/>
      <c r="G2234"/>
    </row>
    <row r="2235" spans="1:7" x14ac:dyDescent="0.25">
      <c r="A2235" s="40"/>
      <c r="E2235" s="54"/>
      <c r="G2235"/>
    </row>
    <row r="2236" spans="1:7" x14ac:dyDescent="0.25">
      <c r="A2236" s="40"/>
      <c r="E2236" s="54"/>
      <c r="G2236"/>
    </row>
    <row r="2237" spans="1:7" x14ac:dyDescent="0.25">
      <c r="A2237" s="40"/>
      <c r="E2237" s="54"/>
      <c r="G2237"/>
    </row>
    <row r="2238" spans="1:7" x14ac:dyDescent="0.25">
      <c r="A2238" s="40"/>
      <c r="E2238" s="54"/>
      <c r="G2238"/>
    </row>
    <row r="2239" spans="1:7" x14ac:dyDescent="0.25">
      <c r="A2239" s="40"/>
      <c r="E2239" s="54"/>
      <c r="G2239"/>
    </row>
    <row r="2240" spans="1:7" x14ac:dyDescent="0.25">
      <c r="A2240" s="40"/>
      <c r="E2240" s="54"/>
      <c r="G2240"/>
    </row>
    <row r="2241" spans="1:7" x14ac:dyDescent="0.25">
      <c r="A2241" s="40"/>
      <c r="E2241" s="54"/>
      <c r="G2241"/>
    </row>
    <row r="2242" spans="1:7" x14ac:dyDescent="0.25">
      <c r="A2242" s="40"/>
      <c r="E2242" s="54"/>
      <c r="G2242"/>
    </row>
    <row r="2243" spans="1:7" x14ac:dyDescent="0.25">
      <c r="A2243" s="40"/>
      <c r="E2243" s="54"/>
      <c r="G2243"/>
    </row>
    <row r="2244" spans="1:7" x14ac:dyDescent="0.25">
      <c r="A2244" s="40"/>
      <c r="E2244" s="54"/>
      <c r="G2244"/>
    </row>
    <row r="2245" spans="1:7" x14ac:dyDescent="0.25">
      <c r="A2245" s="40"/>
      <c r="E2245" s="54"/>
      <c r="G2245"/>
    </row>
    <row r="2246" spans="1:7" x14ac:dyDescent="0.25">
      <c r="A2246" s="40"/>
      <c r="E2246" s="54"/>
      <c r="G2246"/>
    </row>
    <row r="2247" spans="1:7" x14ac:dyDescent="0.25">
      <c r="A2247" s="48"/>
      <c r="E2247" s="54"/>
      <c r="F2247"/>
      <c r="G2247"/>
    </row>
    <row r="2248" spans="1:7" x14ac:dyDescent="0.25">
      <c r="A2248" s="48"/>
      <c r="E2248" s="54"/>
      <c r="F2248"/>
      <c r="G2248"/>
    </row>
    <row r="2249" spans="1:7" x14ac:dyDescent="0.25">
      <c r="A2249" s="48"/>
      <c r="E2249" s="54"/>
      <c r="F2249"/>
      <c r="G2249"/>
    </row>
    <row r="2250" spans="1:7" x14ac:dyDescent="0.25">
      <c r="A2250" s="48"/>
      <c r="E2250" s="54"/>
      <c r="F2250"/>
      <c r="G2250"/>
    </row>
    <row r="2251" spans="1:7" x14ac:dyDescent="0.25">
      <c r="A2251" s="48"/>
      <c r="E2251" s="54"/>
      <c r="F2251"/>
      <c r="G2251"/>
    </row>
    <row r="2252" spans="1:7" x14ac:dyDescent="0.25">
      <c r="A2252" s="48"/>
      <c r="E2252" s="54"/>
      <c r="F2252"/>
      <c r="G2252"/>
    </row>
    <row r="2253" spans="1:7" x14ac:dyDescent="0.25">
      <c r="A2253" s="48"/>
      <c r="E2253" s="54"/>
      <c r="F2253"/>
      <c r="G2253"/>
    </row>
    <row r="2254" spans="1:7" x14ac:dyDescent="0.25">
      <c r="A2254" s="48"/>
      <c r="E2254" s="54"/>
      <c r="F2254"/>
      <c r="G2254"/>
    </row>
    <row r="2255" spans="1:7" x14ac:dyDescent="0.25">
      <c r="A2255" s="48"/>
      <c r="E2255" s="54"/>
      <c r="F2255"/>
      <c r="G2255"/>
    </row>
    <row r="2256" spans="1:7" x14ac:dyDescent="0.25">
      <c r="A2256" s="48"/>
      <c r="E2256" s="54"/>
      <c r="F2256"/>
      <c r="G2256"/>
    </row>
    <row r="2257" spans="1:7" x14ac:dyDescent="0.25">
      <c r="A2257" s="48"/>
      <c r="E2257" s="54"/>
      <c r="F2257"/>
      <c r="G2257"/>
    </row>
    <row r="2258" spans="1:7" x14ac:dyDescent="0.25">
      <c r="A2258" s="48"/>
      <c r="E2258" s="54"/>
      <c r="F2258"/>
      <c r="G2258"/>
    </row>
    <row r="2259" spans="1:7" x14ac:dyDescent="0.25">
      <c r="A2259" s="41"/>
      <c r="E2259" s="54"/>
      <c r="G2259"/>
    </row>
    <row r="2260" spans="1:7" x14ac:dyDescent="0.25">
      <c r="A2260" s="48"/>
      <c r="E2260" s="54"/>
      <c r="F2260"/>
      <c r="G2260"/>
    </row>
    <row r="2261" spans="1:7" x14ac:dyDescent="0.25">
      <c r="A2261" s="48"/>
      <c r="E2261" s="54"/>
      <c r="F2261"/>
      <c r="G2261"/>
    </row>
    <row r="2262" spans="1:7" x14ac:dyDescent="0.25">
      <c r="A2262" s="48"/>
      <c r="E2262" s="54"/>
      <c r="F2262"/>
      <c r="G2262"/>
    </row>
    <row r="2263" spans="1:7" x14ac:dyDescent="0.25">
      <c r="A2263" s="48"/>
      <c r="E2263" s="54"/>
      <c r="F2263"/>
      <c r="G2263"/>
    </row>
    <row r="2264" spans="1:7" x14ac:dyDescent="0.25">
      <c r="A2264" s="39"/>
      <c r="E2264" s="54"/>
      <c r="G2264"/>
    </row>
    <row r="2265" spans="1:7" x14ac:dyDescent="0.25">
      <c r="A2265" s="39"/>
      <c r="E2265" s="54"/>
      <c r="G2265"/>
    </row>
    <row r="2266" spans="1:7" x14ac:dyDescent="0.25">
      <c r="A2266" s="39"/>
      <c r="E2266" s="54"/>
      <c r="G2266"/>
    </row>
    <row r="2267" spans="1:7" x14ac:dyDescent="0.25">
      <c r="A2267" s="39"/>
      <c r="E2267" s="54"/>
      <c r="G2267"/>
    </row>
    <row r="2268" spans="1:7" x14ac:dyDescent="0.25">
      <c r="A2268" s="39"/>
      <c r="E2268" s="54"/>
      <c r="G2268"/>
    </row>
    <row r="2269" spans="1:7" x14ac:dyDescent="0.25">
      <c r="E2269" s="54"/>
      <c r="G2269"/>
    </row>
    <row r="2270" spans="1:7" x14ac:dyDescent="0.25">
      <c r="E2270" s="54"/>
      <c r="G2270"/>
    </row>
    <row r="2271" spans="1:7" x14ac:dyDescent="0.25">
      <c r="E2271" s="54"/>
      <c r="G2271"/>
    </row>
    <row r="2272" spans="1:7" x14ac:dyDescent="0.25">
      <c r="E2272" s="54"/>
      <c r="G2272"/>
    </row>
    <row r="2273" spans="5:7" x14ac:dyDescent="0.25">
      <c r="E2273" s="54"/>
      <c r="G2273"/>
    </row>
    <row r="2274" spans="5:7" x14ac:dyDescent="0.25">
      <c r="E2274" s="54"/>
      <c r="G2274"/>
    </row>
    <row r="2275" spans="5:7" x14ac:dyDescent="0.25">
      <c r="E2275" s="54"/>
      <c r="G2275"/>
    </row>
    <row r="2276" spans="5:7" x14ac:dyDescent="0.25">
      <c r="E2276" s="54"/>
      <c r="G2276"/>
    </row>
    <row r="2277" spans="5:7" x14ac:dyDescent="0.25">
      <c r="E2277" s="54"/>
      <c r="G2277"/>
    </row>
    <row r="2278" spans="5:7" x14ac:dyDescent="0.25">
      <c r="E2278" s="54"/>
      <c r="G2278"/>
    </row>
    <row r="2279" spans="5:7" x14ac:dyDescent="0.25">
      <c r="E2279" s="54"/>
      <c r="G2279"/>
    </row>
    <row r="2280" spans="5:7" x14ac:dyDescent="0.25">
      <c r="E2280" s="54"/>
      <c r="G2280"/>
    </row>
    <row r="2281" spans="5:7" x14ac:dyDescent="0.25">
      <c r="E2281" s="54"/>
      <c r="G2281"/>
    </row>
    <row r="2282" spans="5:7" x14ac:dyDescent="0.25">
      <c r="E2282" s="54"/>
      <c r="G2282"/>
    </row>
    <row r="2283" spans="5:7" x14ac:dyDescent="0.25">
      <c r="E2283" s="54"/>
      <c r="G2283"/>
    </row>
    <row r="2284" spans="5:7" x14ac:dyDescent="0.25">
      <c r="E2284" s="54"/>
      <c r="G2284"/>
    </row>
    <row r="2285" spans="5:7" x14ac:dyDescent="0.25">
      <c r="E2285" s="54"/>
      <c r="G2285"/>
    </row>
    <row r="2286" spans="5:7" x14ac:dyDescent="0.25">
      <c r="E2286" s="54"/>
      <c r="G2286"/>
    </row>
    <row r="2287" spans="5:7" x14ac:dyDescent="0.25">
      <c r="E2287" s="54"/>
      <c r="G2287"/>
    </row>
    <row r="2288" spans="5:7" x14ac:dyDescent="0.25">
      <c r="E2288" s="54"/>
      <c r="G2288"/>
    </row>
    <row r="2289" spans="5:7" x14ac:dyDescent="0.25">
      <c r="E2289" s="54"/>
      <c r="G2289"/>
    </row>
    <row r="2290" spans="5:7" x14ac:dyDescent="0.25">
      <c r="E2290" s="54"/>
      <c r="G2290"/>
    </row>
    <row r="2291" spans="5:7" x14ac:dyDescent="0.25">
      <c r="E2291" s="54"/>
      <c r="G2291"/>
    </row>
    <row r="2292" spans="5:7" x14ac:dyDescent="0.25">
      <c r="E2292" s="54"/>
      <c r="G2292"/>
    </row>
    <row r="2293" spans="5:7" x14ac:dyDescent="0.25">
      <c r="E2293" s="54"/>
      <c r="G2293"/>
    </row>
    <row r="2294" spans="5:7" x14ac:dyDescent="0.25">
      <c r="E2294" s="54"/>
      <c r="G2294"/>
    </row>
    <row r="2295" spans="5:7" x14ac:dyDescent="0.25">
      <c r="E2295" s="54"/>
      <c r="G2295"/>
    </row>
    <row r="2296" spans="5:7" x14ac:dyDescent="0.25">
      <c r="E2296" s="54"/>
      <c r="G2296"/>
    </row>
    <row r="2297" spans="5:7" x14ac:dyDescent="0.25">
      <c r="E2297" s="54"/>
      <c r="G2297"/>
    </row>
    <row r="2298" spans="5:7" x14ac:dyDescent="0.25">
      <c r="E2298" s="54"/>
      <c r="G2298"/>
    </row>
    <row r="2299" spans="5:7" x14ac:dyDescent="0.25">
      <c r="E2299" s="54"/>
      <c r="G2299"/>
    </row>
    <row r="2300" spans="5:7" x14ac:dyDescent="0.25">
      <c r="E2300" s="54"/>
      <c r="G2300"/>
    </row>
    <row r="2301" spans="5:7" x14ac:dyDescent="0.25">
      <c r="E2301" s="54"/>
      <c r="G2301"/>
    </row>
    <row r="2302" spans="5:7" x14ac:dyDescent="0.25">
      <c r="E2302" s="54"/>
      <c r="G2302"/>
    </row>
    <row r="2303" spans="5:7" x14ac:dyDescent="0.25">
      <c r="E2303" s="54"/>
      <c r="G2303"/>
    </row>
    <row r="2304" spans="5:7" x14ac:dyDescent="0.25">
      <c r="E2304" s="54"/>
      <c r="G2304"/>
    </row>
    <row r="2305" spans="1:7" x14ac:dyDescent="0.25">
      <c r="E2305" s="54"/>
      <c r="G2305"/>
    </row>
    <row r="2306" spans="1:7" x14ac:dyDescent="0.25">
      <c r="E2306" s="54"/>
      <c r="G2306"/>
    </row>
    <row r="2307" spans="1:7" x14ac:dyDescent="0.25">
      <c r="E2307" s="54"/>
      <c r="G2307"/>
    </row>
    <row r="2308" spans="1:7" x14ac:dyDescent="0.25">
      <c r="E2308" s="54"/>
      <c r="G2308"/>
    </row>
    <row r="2309" spans="1:7" x14ac:dyDescent="0.25">
      <c r="E2309" s="54"/>
      <c r="G2309"/>
    </row>
    <row r="2310" spans="1:7" x14ac:dyDescent="0.25">
      <c r="E2310" s="54"/>
      <c r="G2310"/>
    </row>
    <row r="2311" spans="1:7" x14ac:dyDescent="0.25">
      <c r="E2311" s="54"/>
      <c r="G2311"/>
    </row>
    <row r="2312" spans="1:7" x14ac:dyDescent="0.25">
      <c r="E2312" s="54"/>
      <c r="G2312"/>
    </row>
    <row r="2313" spans="1:7" x14ac:dyDescent="0.25">
      <c r="E2313" s="54"/>
      <c r="G2313"/>
    </row>
    <row r="2314" spans="1:7" x14ac:dyDescent="0.25">
      <c r="E2314" s="54"/>
      <c r="G2314"/>
    </row>
    <row r="2315" spans="1:7" x14ac:dyDescent="0.25">
      <c r="E2315" s="54"/>
      <c r="G2315"/>
    </row>
    <row r="2316" spans="1:7" x14ac:dyDescent="0.25">
      <c r="E2316" s="54"/>
      <c r="G2316"/>
    </row>
    <row r="2317" spans="1:7" x14ac:dyDescent="0.25">
      <c r="A2317" s="40"/>
      <c r="E2317" s="54"/>
      <c r="G2317"/>
    </row>
    <row r="2318" spans="1:7" x14ac:dyDescent="0.25">
      <c r="A2318" s="40"/>
      <c r="E2318" s="54"/>
      <c r="G2318"/>
    </row>
    <row r="2319" spans="1:7" x14ac:dyDescent="0.25">
      <c r="A2319" s="40"/>
      <c r="E2319" s="54"/>
      <c r="G2319"/>
    </row>
    <row r="2320" spans="1:7" x14ac:dyDescent="0.25">
      <c r="A2320" s="40"/>
      <c r="E2320" s="54"/>
      <c r="G2320"/>
    </row>
    <row r="2321" spans="1:7" x14ac:dyDescent="0.25">
      <c r="A2321" s="40"/>
      <c r="E2321" s="54"/>
      <c r="G2321"/>
    </row>
    <row r="2322" spans="1:7" x14ac:dyDescent="0.25">
      <c r="A2322" s="48"/>
      <c r="E2322" s="54"/>
      <c r="F2322"/>
      <c r="G2322"/>
    </row>
    <row r="2323" spans="1:7" x14ac:dyDescent="0.25">
      <c r="A2323" s="48"/>
      <c r="E2323" s="54"/>
      <c r="F2323"/>
      <c r="G2323"/>
    </row>
    <row r="2324" spans="1:7" x14ac:dyDescent="0.25">
      <c r="A2324" s="48"/>
      <c r="E2324" s="54"/>
      <c r="F2324"/>
      <c r="G2324"/>
    </row>
    <row r="2325" spans="1:7" x14ac:dyDescent="0.25">
      <c r="A2325" s="48"/>
      <c r="E2325" s="54"/>
      <c r="F2325"/>
      <c r="G2325"/>
    </row>
    <row r="2326" spans="1:7" x14ac:dyDescent="0.25">
      <c r="A2326" s="40"/>
      <c r="E2326" s="54"/>
      <c r="G2326"/>
    </row>
    <row r="2327" spans="1:7" x14ac:dyDescent="0.25">
      <c r="A2327" s="48"/>
      <c r="E2327" s="54"/>
      <c r="F2327"/>
      <c r="G2327"/>
    </row>
    <row r="2328" spans="1:7" x14ac:dyDescent="0.25">
      <c r="A2328" s="48"/>
      <c r="E2328" s="54"/>
      <c r="F2328"/>
      <c r="G2328"/>
    </row>
    <row r="2329" spans="1:7" x14ac:dyDescent="0.25">
      <c r="A2329" s="48"/>
      <c r="E2329" s="54"/>
      <c r="F2329"/>
      <c r="G2329"/>
    </row>
    <row r="2330" spans="1:7" x14ac:dyDescent="0.25">
      <c r="A2330" s="48"/>
      <c r="E2330" s="54"/>
      <c r="F2330"/>
      <c r="G2330"/>
    </row>
    <row r="2331" spans="1:7" x14ac:dyDescent="0.25">
      <c r="A2331" s="48"/>
      <c r="E2331" s="54"/>
      <c r="F2331"/>
      <c r="G2331"/>
    </row>
    <row r="2332" spans="1:7" x14ac:dyDescent="0.25">
      <c r="A2332" s="48"/>
      <c r="E2332" s="54"/>
      <c r="F2332"/>
      <c r="G2332"/>
    </row>
    <row r="2333" spans="1:7" x14ac:dyDescent="0.25">
      <c r="A2333" s="48"/>
      <c r="E2333" s="54"/>
      <c r="F2333"/>
      <c r="G2333"/>
    </row>
    <row r="2334" spans="1:7" x14ac:dyDescent="0.25">
      <c r="E2334" s="54"/>
      <c r="G2334"/>
    </row>
    <row r="2335" spans="1:7" x14ac:dyDescent="0.25">
      <c r="E2335" s="54"/>
      <c r="G2335"/>
    </row>
    <row r="2336" spans="1:7" x14ac:dyDescent="0.25">
      <c r="E2336" s="54"/>
      <c r="G2336"/>
    </row>
    <row r="2337" spans="1:7" x14ac:dyDescent="0.25">
      <c r="E2337" s="54"/>
      <c r="G2337"/>
    </row>
    <row r="2338" spans="1:7" x14ac:dyDescent="0.25">
      <c r="E2338" s="54"/>
      <c r="G2338"/>
    </row>
    <row r="2339" spans="1:7" x14ac:dyDescent="0.25">
      <c r="E2339" s="54"/>
      <c r="G2339"/>
    </row>
    <row r="2340" spans="1:7" x14ac:dyDescent="0.25">
      <c r="E2340" s="54"/>
      <c r="G2340"/>
    </row>
    <row r="2341" spans="1:7" x14ac:dyDescent="0.25">
      <c r="E2341" s="54"/>
      <c r="G2341"/>
    </row>
    <row r="2342" spans="1:7" x14ac:dyDescent="0.25">
      <c r="A2342" s="48"/>
      <c r="E2342" s="54"/>
      <c r="F2342"/>
      <c r="G2342"/>
    </row>
    <row r="2343" spans="1:7" x14ac:dyDescent="0.25">
      <c r="A2343" s="48"/>
      <c r="E2343" s="54"/>
      <c r="F2343"/>
      <c r="G2343"/>
    </row>
    <row r="2344" spans="1:7" x14ac:dyDescent="0.25">
      <c r="A2344" s="48"/>
      <c r="E2344" s="54"/>
      <c r="F2344"/>
      <c r="G2344"/>
    </row>
    <row r="2345" spans="1:7" x14ac:dyDescent="0.25">
      <c r="A2345" s="48"/>
      <c r="E2345" s="54"/>
      <c r="F2345"/>
      <c r="G2345"/>
    </row>
    <row r="2346" spans="1:7" x14ac:dyDescent="0.25">
      <c r="A2346" s="48"/>
      <c r="E2346" s="54"/>
      <c r="F2346"/>
      <c r="G2346"/>
    </row>
    <row r="2347" spans="1:7" x14ac:dyDescent="0.25">
      <c r="A2347" s="48"/>
      <c r="E2347" s="54"/>
      <c r="F2347"/>
      <c r="G2347"/>
    </row>
    <row r="2348" spans="1:7" x14ac:dyDescent="0.25">
      <c r="A2348" s="40"/>
      <c r="E2348" s="54"/>
      <c r="G2348"/>
    </row>
    <row r="2349" spans="1:7" x14ac:dyDescent="0.25">
      <c r="A2349" s="40"/>
      <c r="E2349" s="54"/>
      <c r="G2349"/>
    </row>
    <row r="2350" spans="1:7" x14ac:dyDescent="0.25">
      <c r="A2350" s="48"/>
      <c r="E2350" s="54"/>
      <c r="F2350"/>
      <c r="G2350"/>
    </row>
    <row r="2351" spans="1:7" x14ac:dyDescent="0.25">
      <c r="A2351" s="48"/>
      <c r="E2351" s="54"/>
      <c r="F2351"/>
      <c r="G2351"/>
    </row>
    <row r="2352" spans="1:7" x14ac:dyDescent="0.25">
      <c r="A2352" s="48"/>
      <c r="E2352" s="54"/>
      <c r="F2352"/>
      <c r="G2352"/>
    </row>
    <row r="2353" spans="1:7" x14ac:dyDescent="0.25">
      <c r="A2353" s="48"/>
      <c r="E2353" s="54"/>
      <c r="F2353"/>
      <c r="G2353"/>
    </row>
    <row r="2354" spans="1:7" x14ac:dyDescent="0.25">
      <c r="A2354" s="48"/>
      <c r="E2354" s="54"/>
      <c r="F2354"/>
      <c r="G2354"/>
    </row>
    <row r="2355" spans="1:7" x14ac:dyDescent="0.25">
      <c r="A2355" s="48"/>
      <c r="E2355" s="54"/>
      <c r="F2355"/>
      <c r="G2355"/>
    </row>
    <row r="2356" spans="1:7" x14ac:dyDescent="0.25">
      <c r="A2356" s="48"/>
      <c r="E2356" s="54"/>
      <c r="F2356"/>
      <c r="G2356"/>
    </row>
    <row r="2357" spans="1:7" x14ac:dyDescent="0.25">
      <c r="A2357" s="48"/>
      <c r="E2357" s="54"/>
      <c r="F2357"/>
      <c r="G2357"/>
    </row>
    <row r="2358" spans="1:7" x14ac:dyDescent="0.25">
      <c r="A2358" s="48"/>
      <c r="E2358" s="54"/>
      <c r="F2358"/>
      <c r="G2358"/>
    </row>
    <row r="2359" spans="1:7" x14ac:dyDescent="0.25">
      <c r="A2359" s="48"/>
      <c r="E2359" s="54"/>
      <c r="F2359"/>
      <c r="G2359"/>
    </row>
    <row r="2360" spans="1:7" x14ac:dyDescent="0.25">
      <c r="A2360" s="48"/>
      <c r="E2360" s="54"/>
      <c r="F2360"/>
      <c r="G2360"/>
    </row>
    <row r="2361" spans="1:7" x14ac:dyDescent="0.25">
      <c r="A2361" s="48"/>
      <c r="E2361" s="54"/>
      <c r="F2361"/>
      <c r="G2361"/>
    </row>
    <row r="2362" spans="1:7" x14ac:dyDescent="0.25">
      <c r="A2362" s="48"/>
      <c r="E2362" s="54"/>
      <c r="F2362"/>
      <c r="G2362"/>
    </row>
    <row r="2363" spans="1:7" x14ac:dyDescent="0.25">
      <c r="A2363" s="48"/>
      <c r="E2363" s="54"/>
      <c r="F2363"/>
      <c r="G2363"/>
    </row>
    <row r="2364" spans="1:7" x14ac:dyDescent="0.25">
      <c r="A2364" s="48"/>
      <c r="E2364" s="54"/>
      <c r="F2364"/>
      <c r="G2364"/>
    </row>
    <row r="2365" spans="1:7" x14ac:dyDescent="0.25">
      <c r="A2365" s="48"/>
      <c r="E2365" s="54"/>
      <c r="F2365"/>
      <c r="G2365"/>
    </row>
    <row r="2366" spans="1:7" x14ac:dyDescent="0.25">
      <c r="A2366" s="48"/>
      <c r="E2366" s="54"/>
      <c r="F2366"/>
      <c r="G2366"/>
    </row>
    <row r="2367" spans="1:7" x14ac:dyDescent="0.25">
      <c r="A2367" s="48"/>
      <c r="E2367" s="54"/>
      <c r="F2367"/>
      <c r="G2367"/>
    </row>
    <row r="2368" spans="1:7" x14ac:dyDescent="0.25">
      <c r="A2368" s="48"/>
      <c r="E2368" s="54"/>
      <c r="F2368"/>
      <c r="G2368"/>
    </row>
    <row r="2369" spans="1:7" x14ac:dyDescent="0.25">
      <c r="A2369" s="48"/>
      <c r="E2369" s="54"/>
      <c r="F2369"/>
      <c r="G2369"/>
    </row>
    <row r="2370" spans="1:7" x14ac:dyDescent="0.25">
      <c r="A2370" s="48"/>
      <c r="E2370" s="54"/>
      <c r="F2370"/>
      <c r="G2370"/>
    </row>
    <row r="2371" spans="1:7" x14ac:dyDescent="0.25">
      <c r="A2371" s="48"/>
      <c r="E2371" s="54"/>
      <c r="F2371"/>
      <c r="G2371"/>
    </row>
    <row r="2372" spans="1:7" x14ac:dyDescent="0.25">
      <c r="A2372" s="48"/>
      <c r="E2372" s="54"/>
      <c r="F2372"/>
      <c r="G2372"/>
    </row>
    <row r="2373" spans="1:7" x14ac:dyDescent="0.25">
      <c r="A2373" s="48"/>
      <c r="E2373" s="54"/>
      <c r="F2373"/>
      <c r="G2373"/>
    </row>
    <row r="2374" spans="1:7" x14ac:dyDescent="0.25">
      <c r="A2374" s="48"/>
      <c r="E2374" s="54"/>
      <c r="F2374"/>
      <c r="G2374"/>
    </row>
    <row r="2375" spans="1:7" x14ac:dyDescent="0.25">
      <c r="A2375" s="48"/>
      <c r="E2375" s="54"/>
      <c r="F2375"/>
      <c r="G2375"/>
    </row>
    <row r="2376" spans="1:7" x14ac:dyDescent="0.25">
      <c r="A2376" s="48"/>
      <c r="E2376" s="54"/>
      <c r="F2376"/>
      <c r="G2376"/>
    </row>
    <row r="2377" spans="1:7" x14ac:dyDescent="0.25">
      <c r="A2377" s="48"/>
      <c r="E2377" s="54"/>
      <c r="F2377"/>
      <c r="G2377"/>
    </row>
    <row r="2378" spans="1:7" x14ac:dyDescent="0.25">
      <c r="A2378" s="48"/>
      <c r="E2378" s="54"/>
      <c r="F2378"/>
      <c r="G2378"/>
    </row>
    <row r="2379" spans="1:7" x14ac:dyDescent="0.25">
      <c r="A2379" s="48"/>
      <c r="E2379" s="54"/>
      <c r="F2379"/>
      <c r="G2379"/>
    </row>
    <row r="2380" spans="1:7" x14ac:dyDescent="0.25">
      <c r="A2380" s="48"/>
      <c r="E2380" s="54"/>
      <c r="F2380"/>
      <c r="G2380"/>
    </row>
    <row r="2381" spans="1:7" x14ac:dyDescent="0.25">
      <c r="A2381" s="48"/>
      <c r="E2381" s="54"/>
      <c r="F2381"/>
      <c r="G2381"/>
    </row>
    <row r="2382" spans="1:7" x14ac:dyDescent="0.25">
      <c r="A2382" s="48"/>
      <c r="E2382" s="54"/>
      <c r="F2382"/>
      <c r="G2382"/>
    </row>
    <row r="2383" spans="1:7" x14ac:dyDescent="0.25">
      <c r="A2383" s="48"/>
      <c r="E2383" s="54"/>
      <c r="F2383"/>
      <c r="G2383"/>
    </row>
    <row r="2384" spans="1:7" x14ac:dyDescent="0.25">
      <c r="A2384" s="48"/>
      <c r="E2384" s="54"/>
      <c r="F2384"/>
      <c r="G2384"/>
    </row>
    <row r="2385" spans="1:7" x14ac:dyDescent="0.25">
      <c r="A2385" s="48"/>
      <c r="E2385" s="54"/>
      <c r="F2385"/>
      <c r="G2385"/>
    </row>
    <row r="2386" spans="1:7" x14ac:dyDescent="0.25">
      <c r="A2386" s="48"/>
      <c r="E2386" s="54"/>
      <c r="F2386"/>
      <c r="G2386"/>
    </row>
    <row r="2387" spans="1:7" x14ac:dyDescent="0.25">
      <c r="A2387" s="48"/>
      <c r="E2387" s="54"/>
      <c r="F2387"/>
      <c r="G2387"/>
    </row>
    <row r="2388" spans="1:7" x14ac:dyDescent="0.25">
      <c r="A2388" s="48"/>
      <c r="E2388" s="54"/>
      <c r="F2388"/>
      <c r="G2388"/>
    </row>
    <row r="2389" spans="1:7" x14ac:dyDescent="0.25">
      <c r="A2389" s="48"/>
      <c r="E2389" s="54"/>
      <c r="F2389"/>
      <c r="G2389"/>
    </row>
    <row r="2390" spans="1:7" x14ac:dyDescent="0.25">
      <c r="A2390" s="48"/>
      <c r="E2390" s="54"/>
      <c r="F2390"/>
      <c r="G2390"/>
    </row>
    <row r="2391" spans="1:7" x14ac:dyDescent="0.25">
      <c r="A2391" s="48"/>
      <c r="E2391" s="54"/>
      <c r="F2391"/>
      <c r="G2391"/>
    </row>
    <row r="2392" spans="1:7" x14ac:dyDescent="0.25">
      <c r="A2392" s="48"/>
      <c r="E2392" s="54"/>
      <c r="F2392"/>
      <c r="G2392"/>
    </row>
    <row r="2393" spans="1:7" x14ac:dyDescent="0.25">
      <c r="A2393" s="48"/>
      <c r="E2393" s="54"/>
      <c r="F2393"/>
      <c r="G2393"/>
    </row>
    <row r="2394" spans="1:7" x14ac:dyDescent="0.25">
      <c r="A2394" s="48"/>
      <c r="E2394" s="54"/>
      <c r="F2394"/>
      <c r="G2394"/>
    </row>
    <row r="2395" spans="1:7" x14ac:dyDescent="0.25">
      <c r="A2395" s="48"/>
      <c r="E2395" s="54"/>
      <c r="F2395"/>
      <c r="G2395"/>
    </row>
    <row r="2396" spans="1:7" x14ac:dyDescent="0.25">
      <c r="A2396" s="48"/>
      <c r="E2396" s="54"/>
      <c r="F2396"/>
      <c r="G2396"/>
    </row>
    <row r="2397" spans="1:7" x14ac:dyDescent="0.25">
      <c r="A2397" s="48"/>
      <c r="E2397" s="54"/>
      <c r="F2397"/>
      <c r="G2397"/>
    </row>
    <row r="2398" spans="1:7" x14ac:dyDescent="0.25">
      <c r="A2398" s="48"/>
      <c r="E2398" s="54"/>
      <c r="F2398"/>
      <c r="G2398"/>
    </row>
    <row r="2399" spans="1:7" x14ac:dyDescent="0.25">
      <c r="A2399" s="48"/>
      <c r="E2399" s="54"/>
      <c r="F2399"/>
      <c r="G2399"/>
    </row>
    <row r="2400" spans="1:7" x14ac:dyDescent="0.25">
      <c r="A2400" s="48"/>
      <c r="E2400" s="54"/>
      <c r="F2400"/>
      <c r="G2400"/>
    </row>
    <row r="2401" spans="1:7" x14ac:dyDescent="0.25">
      <c r="A2401" s="48"/>
      <c r="E2401" s="54"/>
      <c r="F2401"/>
      <c r="G2401"/>
    </row>
    <row r="2402" spans="1:7" x14ac:dyDescent="0.25">
      <c r="A2402" s="48"/>
      <c r="E2402" s="54"/>
      <c r="F2402"/>
      <c r="G2402"/>
    </row>
    <row r="2403" spans="1:7" x14ac:dyDescent="0.25">
      <c r="A2403" s="48"/>
      <c r="E2403" s="54"/>
      <c r="F2403"/>
      <c r="G2403"/>
    </row>
    <row r="2404" spans="1:7" x14ac:dyDescent="0.25">
      <c r="A2404" s="48"/>
      <c r="E2404" s="54"/>
      <c r="F2404"/>
      <c r="G2404"/>
    </row>
    <row r="2405" spans="1:7" x14ac:dyDescent="0.25">
      <c r="A2405" s="48"/>
      <c r="E2405" s="54"/>
      <c r="F2405"/>
      <c r="G2405"/>
    </row>
    <row r="2406" spans="1:7" x14ac:dyDescent="0.25">
      <c r="A2406" s="48"/>
      <c r="E2406" s="54"/>
      <c r="F2406"/>
      <c r="G2406"/>
    </row>
    <row r="2407" spans="1:7" x14ac:dyDescent="0.25">
      <c r="A2407" s="48"/>
      <c r="E2407" s="54"/>
      <c r="F2407"/>
      <c r="G2407"/>
    </row>
    <row r="2408" spans="1:7" x14ac:dyDescent="0.25">
      <c r="A2408" s="48"/>
      <c r="E2408" s="54"/>
      <c r="F2408"/>
      <c r="G2408"/>
    </row>
    <row r="2409" spans="1:7" x14ac:dyDescent="0.25">
      <c r="A2409" s="48"/>
      <c r="E2409" s="54"/>
      <c r="F2409"/>
      <c r="G2409"/>
    </row>
    <row r="2410" spans="1:7" x14ac:dyDescent="0.25">
      <c r="A2410" s="48"/>
      <c r="E2410" s="54"/>
      <c r="F2410"/>
      <c r="G2410"/>
    </row>
    <row r="2411" spans="1:7" x14ac:dyDescent="0.25">
      <c r="A2411" s="48"/>
      <c r="E2411" s="54"/>
      <c r="F2411"/>
      <c r="G2411"/>
    </row>
    <row r="2412" spans="1:7" x14ac:dyDescent="0.25">
      <c r="A2412" s="48"/>
      <c r="E2412" s="54"/>
      <c r="F2412"/>
      <c r="G2412"/>
    </row>
    <row r="2413" spans="1:7" x14ac:dyDescent="0.25">
      <c r="A2413" s="48"/>
      <c r="E2413" s="54"/>
      <c r="F2413"/>
      <c r="G2413"/>
    </row>
    <row r="2414" spans="1:7" x14ac:dyDescent="0.25">
      <c r="A2414" s="48"/>
      <c r="E2414" s="54"/>
      <c r="F2414"/>
      <c r="G2414"/>
    </row>
    <row r="2415" spans="1:7" x14ac:dyDescent="0.25">
      <c r="A2415" s="48"/>
      <c r="E2415" s="54"/>
      <c r="F2415"/>
      <c r="G2415"/>
    </row>
    <row r="2416" spans="1:7" x14ac:dyDescent="0.25">
      <c r="A2416" s="48"/>
      <c r="E2416" s="54"/>
      <c r="F2416"/>
      <c r="G2416"/>
    </row>
    <row r="2417" spans="1:7" x14ac:dyDescent="0.25">
      <c r="A2417" s="48"/>
      <c r="E2417" s="54"/>
      <c r="F2417"/>
      <c r="G2417"/>
    </row>
    <row r="2418" spans="1:7" x14ac:dyDescent="0.25">
      <c r="A2418" s="48"/>
      <c r="E2418" s="54"/>
      <c r="F2418"/>
      <c r="G2418"/>
    </row>
    <row r="2419" spans="1:7" x14ac:dyDescent="0.25">
      <c r="A2419" s="48"/>
      <c r="E2419" s="54"/>
      <c r="F2419"/>
      <c r="G2419"/>
    </row>
    <row r="2420" spans="1:7" x14ac:dyDescent="0.25">
      <c r="A2420" s="48"/>
      <c r="E2420" s="54"/>
      <c r="F2420"/>
      <c r="G2420"/>
    </row>
    <row r="2421" spans="1:7" x14ac:dyDescent="0.25">
      <c r="A2421" s="48"/>
      <c r="E2421" s="54"/>
      <c r="F2421"/>
      <c r="G2421"/>
    </row>
    <row r="2422" spans="1:7" x14ac:dyDescent="0.25">
      <c r="A2422" s="48"/>
      <c r="E2422" s="54"/>
      <c r="F2422"/>
      <c r="G2422"/>
    </row>
    <row r="2423" spans="1:7" x14ac:dyDescent="0.25">
      <c r="A2423" s="48"/>
      <c r="E2423" s="54"/>
      <c r="F2423"/>
      <c r="G2423"/>
    </row>
    <row r="2424" spans="1:7" x14ac:dyDescent="0.25">
      <c r="A2424" s="48"/>
      <c r="E2424" s="54"/>
      <c r="F2424"/>
      <c r="G2424"/>
    </row>
    <row r="2425" spans="1:7" x14ac:dyDescent="0.25">
      <c r="A2425" s="48"/>
      <c r="E2425" s="54"/>
      <c r="F2425"/>
      <c r="G2425"/>
    </row>
    <row r="2426" spans="1:7" x14ac:dyDescent="0.25">
      <c r="A2426" s="48"/>
      <c r="E2426" s="54"/>
      <c r="F2426"/>
      <c r="G2426"/>
    </row>
    <row r="2427" spans="1:7" x14ac:dyDescent="0.25">
      <c r="A2427" s="39"/>
      <c r="E2427" s="54"/>
      <c r="F2427" s="2"/>
      <c r="G2427"/>
    </row>
    <row r="2428" spans="1:7" x14ac:dyDescent="0.25">
      <c r="A2428" s="39"/>
      <c r="E2428" s="54"/>
      <c r="F2428" s="2"/>
      <c r="G2428"/>
    </row>
    <row r="2429" spans="1:7" x14ac:dyDescent="0.25">
      <c r="A2429" s="39"/>
      <c r="E2429" s="54"/>
      <c r="F2429" s="2"/>
      <c r="G2429"/>
    </row>
    <row r="2430" spans="1:7" x14ac:dyDescent="0.25">
      <c r="A2430" s="39"/>
      <c r="E2430" s="54"/>
      <c r="F2430" s="2"/>
      <c r="G2430"/>
    </row>
    <row r="2431" spans="1:7" x14ac:dyDescent="0.25">
      <c r="A2431" s="39"/>
      <c r="E2431" s="54"/>
      <c r="F2431" s="2"/>
      <c r="G2431"/>
    </row>
    <row r="2432" spans="1:7" x14ac:dyDescent="0.25">
      <c r="A2432" s="39"/>
      <c r="E2432" s="54"/>
      <c r="F2432" s="2"/>
      <c r="G2432"/>
    </row>
    <row r="2433" spans="1:7" x14ac:dyDescent="0.25">
      <c r="A2433" s="39"/>
      <c r="E2433" s="54"/>
      <c r="F2433" s="2"/>
      <c r="G2433"/>
    </row>
    <row r="2434" spans="1:7" x14ac:dyDescent="0.25">
      <c r="A2434" s="39"/>
      <c r="E2434" s="54"/>
      <c r="F2434" s="2"/>
      <c r="G2434"/>
    </row>
    <row r="2435" spans="1:7" x14ac:dyDescent="0.25">
      <c r="A2435" s="39"/>
      <c r="E2435" s="54"/>
      <c r="F2435" s="2"/>
      <c r="G2435"/>
    </row>
    <row r="2436" spans="1:7" x14ac:dyDescent="0.25">
      <c r="A2436" s="39"/>
      <c r="E2436" s="54"/>
      <c r="F2436" s="2"/>
      <c r="G2436"/>
    </row>
    <row r="2437" spans="1:7" x14ac:dyDescent="0.25">
      <c r="A2437" s="39"/>
      <c r="E2437" s="54"/>
      <c r="F2437" s="2"/>
      <c r="G2437"/>
    </row>
    <row r="2438" spans="1:7" x14ac:dyDescent="0.25">
      <c r="A2438" s="39"/>
      <c r="E2438" s="54"/>
      <c r="F2438" s="2"/>
      <c r="G2438"/>
    </row>
    <row r="2439" spans="1:7" x14ac:dyDescent="0.25">
      <c r="A2439" s="39"/>
      <c r="E2439" s="54"/>
      <c r="F2439" s="2"/>
      <c r="G2439"/>
    </row>
    <row r="2440" spans="1:7" x14ac:dyDescent="0.25">
      <c r="A2440" s="39"/>
      <c r="E2440" s="54"/>
      <c r="F2440" s="2"/>
      <c r="G2440"/>
    </row>
    <row r="2441" spans="1:7" x14ac:dyDescent="0.25">
      <c r="A2441" s="39"/>
      <c r="E2441" s="54"/>
      <c r="F2441" s="2"/>
      <c r="G2441"/>
    </row>
    <row r="2442" spans="1:7" x14ac:dyDescent="0.25">
      <c r="A2442" s="39"/>
      <c r="E2442" s="54"/>
      <c r="F2442" s="2"/>
      <c r="G2442"/>
    </row>
    <row r="2443" spans="1:7" x14ac:dyDescent="0.25">
      <c r="A2443" s="39"/>
      <c r="E2443" s="54"/>
      <c r="F2443" s="2"/>
      <c r="G2443"/>
    </row>
    <row r="2444" spans="1:7" x14ac:dyDescent="0.25">
      <c r="A2444" s="39"/>
      <c r="E2444" s="54"/>
      <c r="F2444" s="2"/>
      <c r="G2444"/>
    </row>
    <row r="2445" spans="1:7" x14ac:dyDescent="0.25">
      <c r="A2445" s="39"/>
      <c r="E2445" s="54"/>
      <c r="F2445" s="2"/>
      <c r="G2445"/>
    </row>
    <row r="2446" spans="1:7" x14ac:dyDescent="0.25">
      <c r="A2446" s="39"/>
      <c r="E2446" s="54"/>
      <c r="F2446" s="2"/>
      <c r="G2446"/>
    </row>
    <row r="2447" spans="1:7" x14ac:dyDescent="0.25">
      <c r="A2447" s="39"/>
      <c r="E2447" s="54"/>
      <c r="F2447" s="2"/>
      <c r="G2447"/>
    </row>
    <row r="2448" spans="1:7" x14ac:dyDescent="0.25">
      <c r="A2448" s="39"/>
      <c r="E2448" s="54"/>
      <c r="F2448" s="2"/>
      <c r="G2448"/>
    </row>
    <row r="2449" spans="1:7" x14ac:dyDescent="0.25">
      <c r="A2449" s="39"/>
      <c r="E2449" s="54"/>
      <c r="F2449" s="2"/>
      <c r="G2449"/>
    </row>
    <row r="2450" spans="1:7" x14ac:dyDescent="0.25">
      <c r="A2450" s="40"/>
      <c r="E2450" s="54"/>
      <c r="G2450"/>
    </row>
    <row r="2451" spans="1:7" x14ac:dyDescent="0.25">
      <c r="A2451" s="40"/>
      <c r="E2451" s="54"/>
      <c r="G2451"/>
    </row>
    <row r="2452" spans="1:7" x14ac:dyDescent="0.25">
      <c r="A2452" s="40"/>
      <c r="E2452" s="54"/>
      <c r="G2452"/>
    </row>
    <row r="2453" spans="1:7" x14ac:dyDescent="0.25">
      <c r="A2453" s="40"/>
      <c r="E2453" s="54"/>
      <c r="G2453"/>
    </row>
    <row r="2454" spans="1:7" x14ac:dyDescent="0.25">
      <c r="A2454" s="40"/>
      <c r="E2454" s="54"/>
      <c r="G2454"/>
    </row>
    <row r="2455" spans="1:7" x14ac:dyDescent="0.25">
      <c r="A2455" s="40"/>
      <c r="E2455" s="54"/>
      <c r="G2455"/>
    </row>
    <row r="2456" spans="1:7" x14ac:dyDescent="0.25">
      <c r="A2456" s="40"/>
      <c r="E2456" s="54"/>
      <c r="G2456"/>
    </row>
    <row r="2457" spans="1:7" x14ac:dyDescent="0.25">
      <c r="A2457" s="40"/>
      <c r="E2457" s="54"/>
      <c r="G2457"/>
    </row>
    <row r="2458" spans="1:7" x14ac:dyDescent="0.25">
      <c r="A2458" s="40"/>
      <c r="E2458" s="54"/>
      <c r="G2458"/>
    </row>
    <row r="2459" spans="1:7" x14ac:dyDescent="0.25">
      <c r="A2459" s="39"/>
      <c r="E2459" s="54"/>
      <c r="F2459" s="2"/>
      <c r="G2459"/>
    </row>
    <row r="2460" spans="1:7" x14ac:dyDescent="0.25">
      <c r="E2460" s="54"/>
      <c r="G2460"/>
    </row>
    <row r="2461" spans="1:7" x14ac:dyDescent="0.25">
      <c r="E2461" s="54"/>
      <c r="G2461"/>
    </row>
    <row r="2462" spans="1:7" x14ac:dyDescent="0.25">
      <c r="E2462" s="54"/>
      <c r="G2462"/>
    </row>
    <row r="2463" spans="1:7" x14ac:dyDescent="0.25">
      <c r="E2463" s="54"/>
      <c r="G2463"/>
    </row>
    <row r="2464" spans="1:7" x14ac:dyDescent="0.25">
      <c r="E2464" s="54"/>
      <c r="G2464"/>
    </row>
    <row r="2465" spans="1:7" x14ac:dyDescent="0.25">
      <c r="E2465" s="54"/>
      <c r="G2465"/>
    </row>
    <row r="2466" spans="1:7" x14ac:dyDescent="0.25">
      <c r="A2466" s="39"/>
      <c r="E2466" s="54"/>
      <c r="F2466" s="2"/>
      <c r="G2466"/>
    </row>
    <row r="2467" spans="1:7" x14ac:dyDescent="0.25">
      <c r="A2467" s="40"/>
      <c r="E2467" s="54"/>
      <c r="F2467" s="2"/>
      <c r="G2467"/>
    </row>
    <row r="2468" spans="1:7" x14ac:dyDescent="0.25">
      <c r="A2468" s="40"/>
      <c r="E2468" s="54"/>
      <c r="F2468" s="2"/>
      <c r="G2468"/>
    </row>
    <row r="2469" spans="1:7" x14ac:dyDescent="0.25">
      <c r="A2469" s="40"/>
      <c r="E2469" s="54"/>
      <c r="F2469" s="2"/>
      <c r="G2469"/>
    </row>
    <row r="2470" spans="1:7" x14ac:dyDescent="0.25">
      <c r="A2470" s="40"/>
      <c r="E2470" s="54"/>
      <c r="F2470" s="2"/>
      <c r="G2470"/>
    </row>
    <row r="2471" spans="1:7" x14ac:dyDescent="0.25">
      <c r="A2471" s="40"/>
      <c r="E2471" s="54"/>
      <c r="F2471" s="2"/>
      <c r="G2471"/>
    </row>
    <row r="2472" spans="1:7" x14ac:dyDescent="0.25">
      <c r="A2472" s="39"/>
      <c r="E2472" s="54"/>
      <c r="F2472" s="2"/>
      <c r="G2472"/>
    </row>
    <row r="2473" spans="1:7" x14ac:dyDescent="0.25">
      <c r="A2473" s="39"/>
      <c r="E2473" s="54"/>
      <c r="F2473" s="2"/>
      <c r="G2473"/>
    </row>
    <row r="2474" spans="1:7" x14ac:dyDescent="0.25">
      <c r="E2474" s="54"/>
      <c r="G2474"/>
    </row>
    <row r="2475" spans="1:7" x14ac:dyDescent="0.25">
      <c r="A2475" s="39"/>
      <c r="E2475" s="54"/>
      <c r="F2475" s="2"/>
      <c r="G2475"/>
    </row>
    <row r="2476" spans="1:7" x14ac:dyDescent="0.25">
      <c r="A2476" s="39"/>
      <c r="E2476" s="54"/>
      <c r="F2476" s="2"/>
      <c r="G2476"/>
    </row>
    <row r="2477" spans="1:7" x14ac:dyDescent="0.25">
      <c r="A2477" s="40"/>
      <c r="E2477" s="54"/>
      <c r="F2477" s="2"/>
      <c r="G2477"/>
    </row>
    <row r="2478" spans="1:7" x14ac:dyDescent="0.25">
      <c r="A2478" s="39"/>
      <c r="E2478" s="54"/>
      <c r="F2478" s="2"/>
      <c r="G2478"/>
    </row>
    <row r="2479" spans="1:7" x14ac:dyDescent="0.25">
      <c r="E2479" s="54"/>
      <c r="G2479"/>
    </row>
    <row r="2480" spans="1:7" x14ac:dyDescent="0.25">
      <c r="A2480" s="39"/>
      <c r="E2480" s="54"/>
      <c r="F2480" s="2"/>
      <c r="G2480"/>
    </row>
    <row r="2481" spans="1:7" x14ac:dyDescent="0.25">
      <c r="A2481" s="39"/>
      <c r="E2481" s="54"/>
      <c r="F2481" s="2"/>
      <c r="G2481"/>
    </row>
    <row r="2482" spans="1:7" x14ac:dyDescent="0.25">
      <c r="A2482" s="39"/>
      <c r="E2482" s="54"/>
      <c r="F2482" s="2"/>
      <c r="G2482"/>
    </row>
    <row r="2483" spans="1:7" x14ac:dyDescent="0.25">
      <c r="A2483" s="39"/>
      <c r="E2483" s="54"/>
      <c r="F2483" s="2"/>
      <c r="G2483"/>
    </row>
    <row r="2484" spans="1:7" x14ac:dyDescent="0.25">
      <c r="A2484" s="39"/>
      <c r="E2484" s="54"/>
      <c r="F2484" s="2"/>
      <c r="G2484"/>
    </row>
    <row r="2485" spans="1:7" x14ac:dyDescent="0.25">
      <c r="A2485" s="48"/>
      <c r="E2485" s="54"/>
      <c r="F2485"/>
      <c r="G2485"/>
    </row>
    <row r="2486" spans="1:7" x14ac:dyDescent="0.25">
      <c r="A2486" s="48"/>
      <c r="E2486" s="54"/>
      <c r="F2486"/>
      <c r="G2486"/>
    </row>
    <row r="2487" spans="1:7" x14ac:dyDescent="0.25">
      <c r="A2487" s="48"/>
      <c r="E2487" s="54"/>
      <c r="F2487"/>
      <c r="G2487"/>
    </row>
    <row r="2488" spans="1:7" x14ac:dyDescent="0.25">
      <c r="A2488" s="48"/>
      <c r="E2488" s="54"/>
      <c r="F2488"/>
      <c r="G2488"/>
    </row>
    <row r="2489" spans="1:7" x14ac:dyDescent="0.25">
      <c r="A2489" s="48"/>
      <c r="E2489" s="54"/>
      <c r="F2489"/>
      <c r="G2489"/>
    </row>
    <row r="2490" spans="1:7" x14ac:dyDescent="0.25">
      <c r="A2490" s="48"/>
      <c r="E2490" s="54"/>
      <c r="F2490"/>
      <c r="G2490"/>
    </row>
    <row r="2491" spans="1:7" x14ac:dyDescent="0.25">
      <c r="A2491" s="48"/>
      <c r="E2491" s="54"/>
      <c r="F2491"/>
      <c r="G2491"/>
    </row>
    <row r="2492" spans="1:7" x14ac:dyDescent="0.25">
      <c r="A2492" s="48"/>
      <c r="E2492" s="54"/>
      <c r="F2492"/>
      <c r="G2492"/>
    </row>
    <row r="2493" spans="1:7" x14ac:dyDescent="0.25">
      <c r="A2493" s="48"/>
      <c r="E2493" s="54"/>
      <c r="F2493"/>
      <c r="G2493"/>
    </row>
    <row r="2494" spans="1:7" x14ac:dyDescent="0.25">
      <c r="A2494" s="48"/>
      <c r="E2494" s="54"/>
      <c r="F2494"/>
      <c r="G2494"/>
    </row>
    <row r="2495" spans="1:7" x14ac:dyDescent="0.25">
      <c r="A2495" s="48"/>
      <c r="E2495" s="54"/>
      <c r="F2495"/>
      <c r="G2495"/>
    </row>
    <row r="2496" spans="1:7" x14ac:dyDescent="0.25">
      <c r="A2496" s="40"/>
      <c r="E2496" s="54"/>
      <c r="F2496" s="2"/>
      <c r="G2496"/>
    </row>
    <row r="2497" spans="1:7" x14ac:dyDescent="0.25">
      <c r="A2497" s="40"/>
      <c r="E2497" s="54"/>
      <c r="F2497" s="2"/>
      <c r="G2497"/>
    </row>
    <row r="2498" spans="1:7" x14ac:dyDescent="0.25">
      <c r="A2498" s="40"/>
      <c r="E2498" s="54"/>
      <c r="F2498" s="2"/>
      <c r="G2498"/>
    </row>
    <row r="2499" spans="1:7" x14ac:dyDescent="0.25">
      <c r="A2499" s="40"/>
      <c r="E2499" s="54"/>
      <c r="F2499" s="2"/>
      <c r="G2499"/>
    </row>
    <row r="2500" spans="1:7" x14ac:dyDescent="0.25">
      <c r="A2500" s="48"/>
      <c r="E2500" s="54"/>
      <c r="F2500"/>
      <c r="G2500"/>
    </row>
    <row r="2501" spans="1:7" x14ac:dyDescent="0.25">
      <c r="A2501" s="48"/>
      <c r="E2501" s="54"/>
      <c r="F2501"/>
      <c r="G2501"/>
    </row>
    <row r="2502" spans="1:7" x14ac:dyDescent="0.25">
      <c r="A2502" s="48"/>
      <c r="E2502" s="54"/>
      <c r="F2502"/>
      <c r="G2502"/>
    </row>
    <row r="2503" spans="1:7" x14ac:dyDescent="0.25">
      <c r="A2503" s="48"/>
      <c r="E2503" s="54"/>
      <c r="F2503"/>
      <c r="G2503"/>
    </row>
    <row r="2504" spans="1:7" x14ac:dyDescent="0.25">
      <c r="A2504" s="39"/>
      <c r="E2504" s="54"/>
      <c r="F2504" s="2"/>
      <c r="G2504"/>
    </row>
    <row r="2505" spans="1:7" x14ac:dyDescent="0.25">
      <c r="A2505" s="39"/>
      <c r="E2505" s="54"/>
      <c r="F2505" s="2"/>
      <c r="G2505"/>
    </row>
    <row r="2506" spans="1:7" x14ac:dyDescent="0.25">
      <c r="A2506" s="39"/>
      <c r="E2506" s="54"/>
      <c r="F2506" s="2"/>
      <c r="G2506"/>
    </row>
    <row r="2507" spans="1:7" x14ac:dyDescent="0.25">
      <c r="A2507" s="39"/>
      <c r="E2507" s="54"/>
      <c r="F2507" s="2"/>
      <c r="G2507"/>
    </row>
    <row r="2508" spans="1:7" x14ac:dyDescent="0.25">
      <c r="A2508" s="48"/>
      <c r="E2508" s="54"/>
      <c r="F2508"/>
      <c r="G2508"/>
    </row>
    <row r="2509" spans="1:7" x14ac:dyDescent="0.25">
      <c r="A2509" s="39"/>
      <c r="E2509" s="54"/>
      <c r="F2509" s="2"/>
      <c r="G2509"/>
    </row>
    <row r="2510" spans="1:7" x14ac:dyDescent="0.25">
      <c r="A2510" s="39"/>
      <c r="E2510" s="54"/>
      <c r="F2510" s="2"/>
      <c r="G2510"/>
    </row>
    <row r="2511" spans="1:7" x14ac:dyDescent="0.25">
      <c r="A2511" s="39"/>
      <c r="E2511" s="54"/>
      <c r="F2511" s="2"/>
      <c r="G2511"/>
    </row>
    <row r="2512" spans="1:7" x14ac:dyDescent="0.25">
      <c r="A2512" s="39"/>
      <c r="E2512" s="54"/>
      <c r="F2512" s="2"/>
      <c r="G2512"/>
    </row>
    <row r="2513" spans="1:7" x14ac:dyDescent="0.25">
      <c r="A2513" s="48"/>
      <c r="E2513" s="54"/>
      <c r="F2513"/>
      <c r="G2513"/>
    </row>
    <row r="2514" spans="1:7" x14ac:dyDescent="0.25">
      <c r="A2514" s="40"/>
      <c r="E2514" s="54"/>
      <c r="G2514"/>
    </row>
    <row r="2515" spans="1:7" x14ac:dyDescent="0.25">
      <c r="A2515" s="39"/>
      <c r="E2515" s="54"/>
      <c r="G2515"/>
    </row>
    <row r="2516" spans="1:7" x14ac:dyDescent="0.25">
      <c r="A2516" s="40"/>
      <c r="E2516" s="54"/>
      <c r="G2516"/>
    </row>
    <row r="2517" spans="1:7" x14ac:dyDescent="0.25">
      <c r="A2517" s="40"/>
      <c r="E2517" s="54"/>
      <c r="F2517" s="2"/>
      <c r="G2517"/>
    </row>
    <row r="2518" spans="1:7" x14ac:dyDescent="0.25">
      <c r="A2518" s="40"/>
      <c r="E2518" s="54"/>
      <c r="G2518"/>
    </row>
    <row r="2519" spans="1:7" x14ac:dyDescent="0.25">
      <c r="A2519" s="39"/>
      <c r="E2519" s="54"/>
      <c r="F2519" s="2"/>
      <c r="G2519"/>
    </row>
    <row r="2520" spans="1:7" x14ac:dyDescent="0.25">
      <c r="A2520" s="39"/>
      <c r="E2520" s="54"/>
      <c r="F2520" s="2"/>
      <c r="G2520"/>
    </row>
    <row r="2521" spans="1:7" x14ac:dyDescent="0.25">
      <c r="A2521" s="39"/>
      <c r="E2521" s="54"/>
      <c r="F2521" s="2"/>
      <c r="G2521"/>
    </row>
    <row r="2522" spans="1:7" x14ac:dyDescent="0.25">
      <c r="A2522" s="39"/>
      <c r="E2522" s="54"/>
      <c r="F2522" s="2"/>
      <c r="G2522"/>
    </row>
    <row r="2523" spans="1:7" x14ac:dyDescent="0.25">
      <c r="A2523" s="39"/>
      <c r="E2523" s="54"/>
      <c r="F2523" s="2"/>
      <c r="G2523"/>
    </row>
    <row r="2524" spans="1:7" x14ac:dyDescent="0.25">
      <c r="A2524" s="39"/>
      <c r="E2524" s="54"/>
      <c r="F2524" s="2"/>
      <c r="G2524"/>
    </row>
    <row r="2525" spans="1:7" x14ac:dyDescent="0.25">
      <c r="A2525" s="39"/>
      <c r="E2525" s="54"/>
      <c r="F2525" s="2"/>
      <c r="G2525"/>
    </row>
    <row r="2526" spans="1:7" x14ac:dyDescent="0.25">
      <c r="A2526" s="39"/>
      <c r="E2526" s="54"/>
      <c r="F2526" s="2"/>
      <c r="G2526"/>
    </row>
    <row r="2527" spans="1:7" x14ac:dyDescent="0.25">
      <c r="A2527" s="40"/>
      <c r="E2527" s="54"/>
      <c r="F2527" s="2"/>
      <c r="G2527"/>
    </row>
    <row r="2528" spans="1:7" x14ac:dyDescent="0.25">
      <c r="A2528" s="40"/>
      <c r="E2528" s="54"/>
      <c r="F2528" s="2"/>
      <c r="G2528"/>
    </row>
    <row r="2529" spans="1:7" x14ac:dyDescent="0.25">
      <c r="A2529" s="40"/>
      <c r="E2529" s="54"/>
      <c r="F2529" s="2"/>
      <c r="G2529"/>
    </row>
    <row r="2530" spans="1:7" x14ac:dyDescent="0.25">
      <c r="A2530" s="40"/>
      <c r="E2530" s="54"/>
      <c r="F2530" s="2"/>
      <c r="G2530"/>
    </row>
    <row r="2531" spans="1:7" x14ac:dyDescent="0.25">
      <c r="A2531" s="40"/>
      <c r="E2531" s="54"/>
      <c r="F2531" s="2"/>
      <c r="G2531"/>
    </row>
    <row r="2532" spans="1:7" x14ac:dyDescent="0.25">
      <c r="A2532" s="40"/>
      <c r="E2532" s="54"/>
      <c r="F2532" s="2"/>
      <c r="G2532"/>
    </row>
    <row r="2533" spans="1:7" x14ac:dyDescent="0.25">
      <c r="A2533" s="40"/>
      <c r="E2533" s="54"/>
      <c r="F2533" s="2"/>
      <c r="G2533"/>
    </row>
    <row r="2534" spans="1:7" x14ac:dyDescent="0.25">
      <c r="A2534" s="40"/>
      <c r="E2534" s="54"/>
      <c r="F2534" s="2"/>
      <c r="G2534"/>
    </row>
    <row r="2535" spans="1:7" x14ac:dyDescent="0.25">
      <c r="A2535" s="40"/>
      <c r="E2535" s="54"/>
      <c r="F2535" s="2"/>
      <c r="G2535"/>
    </row>
    <row r="2536" spans="1:7" x14ac:dyDescent="0.25">
      <c r="A2536" s="40"/>
      <c r="E2536" s="54"/>
      <c r="F2536" s="2"/>
      <c r="G2536"/>
    </row>
    <row r="2537" spans="1:7" x14ac:dyDescent="0.25">
      <c r="A2537" s="40"/>
      <c r="E2537" s="54"/>
      <c r="F2537" s="2"/>
      <c r="G2537"/>
    </row>
    <row r="2538" spans="1:7" x14ac:dyDescent="0.25">
      <c r="A2538" s="40"/>
      <c r="E2538" s="54"/>
      <c r="F2538" s="2"/>
      <c r="G2538"/>
    </row>
    <row r="2539" spans="1:7" x14ac:dyDescent="0.25">
      <c r="A2539" s="40"/>
      <c r="E2539" s="54"/>
      <c r="F2539" s="2"/>
      <c r="G2539"/>
    </row>
    <row r="2540" spans="1:7" x14ac:dyDescent="0.25">
      <c r="A2540" s="40"/>
      <c r="E2540" s="54"/>
      <c r="F2540" s="2"/>
      <c r="G2540"/>
    </row>
    <row r="2541" spans="1:7" x14ac:dyDescent="0.25">
      <c r="A2541" s="40"/>
      <c r="E2541" s="54"/>
      <c r="F2541" s="2"/>
      <c r="G2541"/>
    </row>
    <row r="2542" spans="1:7" x14ac:dyDescent="0.25">
      <c r="A2542" s="40"/>
      <c r="E2542" s="54"/>
      <c r="F2542" s="2"/>
      <c r="G2542"/>
    </row>
    <row r="2543" spans="1:7" x14ac:dyDescent="0.25">
      <c r="A2543" s="40"/>
      <c r="E2543" s="54"/>
      <c r="F2543" s="2"/>
      <c r="G2543"/>
    </row>
    <row r="2544" spans="1:7" x14ac:dyDescent="0.25">
      <c r="A2544" s="40"/>
      <c r="E2544" s="54"/>
      <c r="F2544" s="2"/>
      <c r="G2544"/>
    </row>
    <row r="2545" spans="1:7" x14ac:dyDescent="0.25">
      <c r="A2545" s="40"/>
      <c r="E2545" s="54"/>
      <c r="F2545" s="2"/>
      <c r="G2545"/>
    </row>
    <row r="2546" spans="1:7" x14ac:dyDescent="0.25">
      <c r="A2546" s="40"/>
      <c r="E2546" s="54"/>
      <c r="F2546" s="2"/>
      <c r="G2546"/>
    </row>
    <row r="2547" spans="1:7" x14ac:dyDescent="0.25">
      <c r="A2547" s="39"/>
      <c r="E2547" s="54"/>
      <c r="F2547" s="2"/>
      <c r="G2547"/>
    </row>
    <row r="2548" spans="1:7" x14ac:dyDescent="0.25">
      <c r="A2548" s="39"/>
      <c r="E2548" s="54"/>
      <c r="F2548" s="2"/>
      <c r="G2548"/>
    </row>
    <row r="2549" spans="1:7" x14ac:dyDescent="0.25">
      <c r="A2549" s="39"/>
      <c r="E2549" s="54"/>
      <c r="F2549" s="2"/>
      <c r="G2549"/>
    </row>
    <row r="2550" spans="1:7" x14ac:dyDescent="0.25">
      <c r="A2550" s="39"/>
      <c r="E2550" s="54"/>
      <c r="F2550" s="2"/>
      <c r="G2550"/>
    </row>
    <row r="2551" spans="1:7" x14ac:dyDescent="0.25">
      <c r="A2551" s="39"/>
      <c r="E2551" s="54"/>
      <c r="F2551" s="2"/>
      <c r="G2551"/>
    </row>
    <row r="2552" spans="1:7" x14ac:dyDescent="0.25">
      <c r="A2552" s="39"/>
      <c r="E2552" s="54"/>
      <c r="F2552" s="2"/>
      <c r="G2552"/>
    </row>
    <row r="2553" spans="1:7" x14ac:dyDescent="0.25">
      <c r="A2553" s="39"/>
      <c r="E2553" s="54"/>
      <c r="F2553" s="2"/>
      <c r="G2553"/>
    </row>
    <row r="2554" spans="1:7" x14ac:dyDescent="0.25">
      <c r="A2554" s="39"/>
      <c r="E2554" s="54"/>
      <c r="F2554" s="2"/>
      <c r="G2554"/>
    </row>
    <row r="2555" spans="1:7" x14ac:dyDescent="0.25">
      <c r="A2555" s="39"/>
      <c r="E2555" s="54"/>
      <c r="F2555" s="2"/>
      <c r="G2555"/>
    </row>
    <row r="2556" spans="1:7" x14ac:dyDescent="0.25">
      <c r="E2556" s="54"/>
      <c r="F2556" s="2"/>
      <c r="G2556"/>
    </row>
    <row r="2557" spans="1:7" x14ac:dyDescent="0.25">
      <c r="E2557" s="54"/>
      <c r="F2557" s="2"/>
      <c r="G2557"/>
    </row>
    <row r="2558" spans="1:7" x14ac:dyDescent="0.25">
      <c r="E2558" s="54"/>
      <c r="F2558" s="2"/>
      <c r="G2558"/>
    </row>
    <row r="2559" spans="1:7" x14ac:dyDescent="0.25">
      <c r="E2559" s="54"/>
      <c r="F2559" s="2"/>
      <c r="G2559"/>
    </row>
    <row r="2560" spans="1:7" x14ac:dyDescent="0.25">
      <c r="E2560" s="54"/>
      <c r="F2560" s="2"/>
      <c r="G2560"/>
    </row>
    <row r="2561" spans="1:7" x14ac:dyDescent="0.25">
      <c r="E2561" s="54"/>
      <c r="F2561" s="2"/>
      <c r="G2561"/>
    </row>
    <row r="2562" spans="1:7" x14ac:dyDescent="0.25">
      <c r="E2562" s="54"/>
      <c r="F2562" s="2"/>
      <c r="G2562"/>
    </row>
    <row r="2563" spans="1:7" x14ac:dyDescent="0.25">
      <c r="E2563" s="54"/>
      <c r="F2563" s="2"/>
      <c r="G2563"/>
    </row>
    <row r="2564" spans="1:7" x14ac:dyDescent="0.25">
      <c r="E2564" s="54"/>
      <c r="F2564" s="2"/>
      <c r="G2564"/>
    </row>
    <row r="2565" spans="1:7" x14ac:dyDescent="0.25">
      <c r="E2565" s="54"/>
      <c r="F2565" s="2"/>
      <c r="G2565"/>
    </row>
    <row r="2566" spans="1:7" x14ac:dyDescent="0.25">
      <c r="E2566" s="54"/>
      <c r="F2566" s="2"/>
      <c r="G2566"/>
    </row>
    <row r="2567" spans="1:7" x14ac:dyDescent="0.25">
      <c r="E2567" s="54"/>
      <c r="F2567" s="2"/>
      <c r="G2567"/>
    </row>
    <row r="2568" spans="1:7" x14ac:dyDescent="0.25">
      <c r="E2568" s="54"/>
      <c r="F2568" s="2"/>
      <c r="G2568"/>
    </row>
    <row r="2569" spans="1:7" x14ac:dyDescent="0.25">
      <c r="E2569" s="54"/>
      <c r="F2569" s="2"/>
      <c r="G2569"/>
    </row>
    <row r="2570" spans="1:7" x14ac:dyDescent="0.25">
      <c r="E2570" s="54"/>
      <c r="F2570" s="2"/>
      <c r="G2570"/>
    </row>
    <row r="2571" spans="1:7" x14ac:dyDescent="0.25">
      <c r="E2571" s="54"/>
      <c r="F2571" s="2"/>
      <c r="G2571"/>
    </row>
    <row r="2572" spans="1:7" x14ac:dyDescent="0.25">
      <c r="E2572" s="54"/>
      <c r="F2572" s="2"/>
      <c r="G2572"/>
    </row>
    <row r="2573" spans="1:7" x14ac:dyDescent="0.25">
      <c r="E2573" s="54"/>
      <c r="F2573" s="2"/>
      <c r="G2573"/>
    </row>
    <row r="2574" spans="1:7" x14ac:dyDescent="0.25">
      <c r="A2574" s="39"/>
      <c r="E2574" s="54"/>
      <c r="F2574" s="2"/>
      <c r="G2574"/>
    </row>
    <row r="2575" spans="1:7" x14ac:dyDescent="0.25">
      <c r="A2575" s="39"/>
      <c r="E2575" s="54"/>
      <c r="F2575" s="2"/>
      <c r="G2575"/>
    </row>
    <row r="2576" spans="1:7" x14ac:dyDescent="0.25">
      <c r="A2576" s="39"/>
      <c r="E2576" s="54"/>
      <c r="F2576" s="2"/>
      <c r="G2576"/>
    </row>
    <row r="2577" spans="1:7" x14ac:dyDescent="0.25">
      <c r="A2577" s="39"/>
      <c r="E2577" s="54"/>
      <c r="F2577" s="2"/>
      <c r="G2577"/>
    </row>
    <row r="2578" spans="1:7" x14ac:dyDescent="0.25">
      <c r="A2578" s="39"/>
      <c r="E2578" s="54"/>
      <c r="F2578" s="2"/>
      <c r="G2578"/>
    </row>
    <row r="2579" spans="1:7" x14ac:dyDescent="0.25">
      <c r="A2579" s="39"/>
      <c r="E2579" s="54"/>
      <c r="F2579" s="2"/>
      <c r="G2579"/>
    </row>
    <row r="2580" spans="1:7" x14ac:dyDescent="0.25">
      <c r="A2580" s="39"/>
      <c r="E2580" s="54"/>
      <c r="F2580" s="2"/>
      <c r="G2580"/>
    </row>
    <row r="2581" spans="1:7" x14ac:dyDescent="0.25">
      <c r="A2581" s="39"/>
      <c r="E2581" s="54"/>
      <c r="F2581" s="2"/>
      <c r="G2581"/>
    </row>
    <row r="2582" spans="1:7" x14ac:dyDescent="0.25">
      <c r="E2582" s="54"/>
      <c r="G2582"/>
    </row>
    <row r="2583" spans="1:7" x14ac:dyDescent="0.25">
      <c r="E2583" s="54"/>
      <c r="G2583"/>
    </row>
    <row r="2584" spans="1:7" x14ac:dyDescent="0.25">
      <c r="A2584" s="40"/>
      <c r="E2584" s="54"/>
      <c r="F2584" s="2"/>
      <c r="G2584"/>
    </row>
    <row r="2585" spans="1:7" x14ac:dyDescent="0.25">
      <c r="A2585" s="40"/>
      <c r="E2585" s="54"/>
      <c r="F2585" s="2"/>
      <c r="G2585"/>
    </row>
    <row r="2586" spans="1:7" x14ac:dyDescent="0.25">
      <c r="A2586" s="40"/>
      <c r="E2586" s="54"/>
      <c r="F2586" s="2"/>
      <c r="G2586"/>
    </row>
    <row r="2587" spans="1:7" x14ac:dyDescent="0.25">
      <c r="A2587" s="40"/>
      <c r="E2587" s="54"/>
      <c r="F2587" s="2"/>
      <c r="G2587"/>
    </row>
    <row r="2588" spans="1:7" x14ac:dyDescent="0.25">
      <c r="A2588" s="40"/>
      <c r="E2588" s="54"/>
      <c r="F2588" s="2"/>
      <c r="G2588"/>
    </row>
    <row r="2589" spans="1:7" x14ac:dyDescent="0.25">
      <c r="A2589" s="40"/>
      <c r="E2589" s="54"/>
      <c r="F2589" s="2"/>
      <c r="G2589"/>
    </row>
    <row r="2590" spans="1:7" x14ac:dyDescent="0.25">
      <c r="A2590" s="40"/>
      <c r="E2590" s="54"/>
      <c r="F2590" s="2"/>
      <c r="G2590"/>
    </row>
    <row r="2591" spans="1:7" x14ac:dyDescent="0.25">
      <c r="A2591" s="39"/>
      <c r="E2591" s="54"/>
      <c r="F2591" s="2"/>
      <c r="G2591"/>
    </row>
    <row r="2592" spans="1:7" x14ac:dyDescent="0.25">
      <c r="E2592" s="54"/>
      <c r="F2592" s="2"/>
      <c r="G2592"/>
    </row>
    <row r="2593" spans="1:7" x14ac:dyDescent="0.25">
      <c r="E2593" s="54"/>
      <c r="F2593" s="2"/>
      <c r="G2593"/>
    </row>
    <row r="2594" spans="1:7" x14ac:dyDescent="0.25">
      <c r="A2594" s="39"/>
      <c r="E2594" s="54"/>
      <c r="F2594" s="2"/>
      <c r="G2594"/>
    </row>
    <row r="2595" spans="1:7" x14ac:dyDescent="0.25">
      <c r="A2595" s="39"/>
      <c r="E2595" s="54"/>
      <c r="F2595" s="2"/>
      <c r="G2595"/>
    </row>
    <row r="2596" spans="1:7" x14ac:dyDescent="0.25">
      <c r="A2596" s="39"/>
      <c r="E2596" s="54"/>
      <c r="F2596" s="2"/>
      <c r="G2596"/>
    </row>
    <row r="2597" spans="1:7" x14ac:dyDescent="0.25">
      <c r="A2597" s="40"/>
      <c r="E2597" s="54"/>
      <c r="F2597" s="2"/>
      <c r="G2597"/>
    </row>
    <row r="2598" spans="1:7" x14ac:dyDescent="0.25">
      <c r="A2598" s="40"/>
      <c r="E2598" s="54"/>
      <c r="F2598" s="2"/>
      <c r="G2598"/>
    </row>
    <row r="2599" spans="1:7" x14ac:dyDescent="0.25">
      <c r="A2599" s="40"/>
      <c r="E2599" s="54"/>
      <c r="F2599" s="2"/>
      <c r="G2599"/>
    </row>
    <row r="2600" spans="1:7" x14ac:dyDescent="0.25">
      <c r="A2600" s="40"/>
      <c r="E2600" s="54"/>
      <c r="F2600" s="2"/>
      <c r="G2600"/>
    </row>
    <row r="2601" spans="1:7" x14ac:dyDescent="0.25">
      <c r="A2601" s="40"/>
      <c r="E2601" s="54"/>
      <c r="F2601" s="2"/>
      <c r="G2601"/>
    </row>
    <row r="2602" spans="1:7" x14ac:dyDescent="0.25">
      <c r="A2602" s="40"/>
      <c r="E2602" s="54"/>
      <c r="F2602" s="2"/>
      <c r="G2602"/>
    </row>
    <row r="2603" spans="1:7" x14ac:dyDescent="0.25">
      <c r="A2603" s="40"/>
      <c r="E2603" s="54"/>
      <c r="F2603" s="2"/>
      <c r="G2603"/>
    </row>
    <row r="2604" spans="1:7" x14ac:dyDescent="0.25">
      <c r="A2604" s="40"/>
      <c r="E2604" s="54"/>
      <c r="F2604" s="2"/>
      <c r="G2604"/>
    </row>
    <row r="2605" spans="1:7" x14ac:dyDescent="0.25">
      <c r="A2605" s="40"/>
      <c r="E2605" s="54"/>
      <c r="F2605" s="2"/>
      <c r="G2605"/>
    </row>
    <row r="2606" spans="1:7" x14ac:dyDescent="0.25">
      <c r="A2606" s="40"/>
      <c r="E2606" s="54"/>
      <c r="F2606" s="2"/>
      <c r="G2606"/>
    </row>
    <row r="2607" spans="1:7" x14ac:dyDescent="0.25">
      <c r="A2607" s="40"/>
      <c r="E2607" s="54"/>
      <c r="F2607" s="2"/>
      <c r="G2607"/>
    </row>
    <row r="2608" spans="1:7" x14ac:dyDescent="0.25">
      <c r="A2608" s="40"/>
      <c r="E2608" s="54"/>
      <c r="F2608" s="2"/>
      <c r="G2608"/>
    </row>
    <row r="2609" spans="1:7" x14ac:dyDescent="0.25">
      <c r="A2609" s="40"/>
      <c r="E2609" s="54"/>
      <c r="F2609" s="2"/>
      <c r="G2609"/>
    </row>
    <row r="2610" spans="1:7" x14ac:dyDescent="0.25">
      <c r="A2610" s="40"/>
      <c r="E2610" s="54"/>
      <c r="F2610" s="2"/>
      <c r="G2610"/>
    </row>
    <row r="2611" spans="1:7" x14ac:dyDescent="0.25">
      <c r="A2611" s="40"/>
      <c r="E2611" s="54"/>
      <c r="F2611" s="2"/>
      <c r="G2611"/>
    </row>
    <row r="2612" spans="1:7" x14ac:dyDescent="0.25">
      <c r="A2612" s="40"/>
      <c r="E2612" s="54"/>
      <c r="F2612" s="2"/>
      <c r="G2612"/>
    </row>
    <row r="2613" spans="1:7" x14ac:dyDescent="0.25">
      <c r="A2613" s="40"/>
      <c r="E2613" s="54"/>
      <c r="F2613" s="2"/>
      <c r="G2613"/>
    </row>
    <row r="2614" spans="1:7" x14ac:dyDescent="0.25">
      <c r="A2614" s="40"/>
      <c r="E2614" s="54"/>
      <c r="F2614" s="2"/>
      <c r="G2614"/>
    </row>
    <row r="2615" spans="1:7" x14ac:dyDescent="0.25">
      <c r="A2615" s="40"/>
      <c r="E2615" s="54"/>
      <c r="F2615" s="2"/>
      <c r="G2615"/>
    </row>
    <row r="2616" spans="1:7" x14ac:dyDescent="0.25">
      <c r="A2616" s="40"/>
      <c r="E2616" s="54"/>
      <c r="F2616" s="2"/>
      <c r="G2616"/>
    </row>
    <row r="2617" spans="1:7" x14ac:dyDescent="0.25">
      <c r="A2617" s="40"/>
      <c r="E2617" s="54"/>
      <c r="F2617" s="2"/>
      <c r="G2617"/>
    </row>
    <row r="2618" spans="1:7" x14ac:dyDescent="0.25">
      <c r="A2618" s="40"/>
      <c r="E2618" s="54"/>
      <c r="F2618" s="2"/>
      <c r="G2618"/>
    </row>
    <row r="2619" spans="1:7" x14ac:dyDescent="0.25">
      <c r="A2619" s="40"/>
      <c r="E2619" s="54"/>
      <c r="F2619" s="2"/>
      <c r="G2619"/>
    </row>
    <row r="2620" spans="1:7" x14ac:dyDescent="0.25">
      <c r="A2620" s="40"/>
      <c r="E2620" s="54"/>
      <c r="F2620" s="2"/>
      <c r="G2620"/>
    </row>
    <row r="2621" spans="1:7" x14ac:dyDescent="0.25">
      <c r="A2621" s="40"/>
      <c r="E2621" s="54"/>
      <c r="F2621" s="2"/>
      <c r="G2621"/>
    </row>
    <row r="2622" spans="1:7" x14ac:dyDescent="0.25">
      <c r="A2622" s="40"/>
      <c r="E2622" s="54"/>
      <c r="F2622" s="2"/>
      <c r="G2622"/>
    </row>
    <row r="2623" spans="1:7" x14ac:dyDescent="0.25">
      <c r="A2623" s="40"/>
      <c r="E2623" s="54"/>
      <c r="F2623" s="2"/>
      <c r="G2623"/>
    </row>
    <row r="2624" spans="1:7" x14ac:dyDescent="0.25">
      <c r="A2624" s="40"/>
      <c r="E2624" s="54"/>
      <c r="F2624" s="2"/>
      <c r="G2624"/>
    </row>
    <row r="2625" spans="1:7" x14ac:dyDescent="0.25">
      <c r="A2625" s="40"/>
      <c r="E2625" s="54"/>
      <c r="F2625" s="2"/>
      <c r="G2625"/>
    </row>
    <row r="2626" spans="1:7" x14ac:dyDescent="0.25">
      <c r="A2626" s="40"/>
      <c r="E2626" s="54"/>
      <c r="F2626" s="2"/>
      <c r="G2626"/>
    </row>
    <row r="2627" spans="1:7" x14ac:dyDescent="0.25">
      <c r="A2627" s="40"/>
      <c r="E2627" s="54"/>
      <c r="F2627" s="2"/>
      <c r="G2627"/>
    </row>
    <row r="2628" spans="1:7" x14ac:dyDescent="0.25">
      <c r="A2628" s="42"/>
      <c r="E2628" s="54"/>
      <c r="F2628" s="2"/>
      <c r="G2628"/>
    </row>
    <row r="2629" spans="1:7" x14ac:dyDescent="0.25">
      <c r="A2629" s="40"/>
      <c r="E2629" s="54"/>
      <c r="F2629" s="2"/>
      <c r="G2629"/>
    </row>
    <row r="2630" spans="1:7" x14ac:dyDescent="0.25">
      <c r="A2630" s="40"/>
      <c r="E2630" s="54"/>
      <c r="F2630" s="2"/>
      <c r="G2630"/>
    </row>
    <row r="2631" spans="1:7" x14ac:dyDescent="0.25">
      <c r="A2631" s="40"/>
      <c r="E2631" s="54"/>
      <c r="F2631" s="2"/>
      <c r="G2631"/>
    </row>
    <row r="2632" spans="1:7" x14ac:dyDescent="0.25">
      <c r="A2632" s="40"/>
      <c r="E2632" s="54"/>
      <c r="F2632" s="2"/>
      <c r="G2632"/>
    </row>
    <row r="2633" spans="1:7" x14ac:dyDescent="0.25">
      <c r="A2633" s="40"/>
      <c r="E2633" s="54"/>
      <c r="F2633" s="2"/>
      <c r="G2633"/>
    </row>
    <row r="2634" spans="1:7" x14ac:dyDescent="0.25">
      <c r="A2634" s="40"/>
      <c r="E2634" s="54"/>
      <c r="F2634" s="2"/>
      <c r="G2634"/>
    </row>
    <row r="2635" spans="1:7" x14ac:dyDescent="0.25">
      <c r="A2635" s="40"/>
      <c r="E2635" s="54"/>
      <c r="F2635" s="2"/>
      <c r="G2635"/>
    </row>
    <row r="2636" spans="1:7" x14ac:dyDescent="0.25">
      <c r="A2636" s="40"/>
      <c r="E2636" s="54"/>
      <c r="F2636" s="2"/>
      <c r="G2636"/>
    </row>
    <row r="2637" spans="1:7" x14ac:dyDescent="0.25">
      <c r="A2637" s="40"/>
      <c r="E2637" s="54"/>
      <c r="F2637" s="2"/>
      <c r="G2637"/>
    </row>
    <row r="2638" spans="1:7" x14ac:dyDescent="0.25">
      <c r="A2638" s="40"/>
      <c r="E2638" s="54"/>
      <c r="F2638" s="2"/>
      <c r="G2638"/>
    </row>
    <row r="2639" spans="1:7" x14ac:dyDescent="0.25">
      <c r="A2639" s="40"/>
      <c r="E2639" s="54"/>
      <c r="F2639" s="2"/>
      <c r="G2639"/>
    </row>
    <row r="2640" spans="1:7" x14ac:dyDescent="0.25">
      <c r="A2640" s="40"/>
      <c r="E2640" s="54"/>
      <c r="F2640" s="2"/>
      <c r="G2640"/>
    </row>
    <row r="2641" spans="1:7" x14ac:dyDescent="0.25">
      <c r="A2641" s="40"/>
      <c r="E2641" s="54"/>
      <c r="F2641" s="2"/>
      <c r="G2641"/>
    </row>
    <row r="2642" spans="1:7" x14ac:dyDescent="0.25">
      <c r="A2642" s="40"/>
      <c r="E2642" s="54"/>
      <c r="F2642" s="2"/>
      <c r="G2642"/>
    </row>
    <row r="2643" spans="1:7" x14ac:dyDescent="0.25">
      <c r="A2643" s="40"/>
      <c r="E2643" s="54"/>
      <c r="F2643" s="2"/>
      <c r="G2643"/>
    </row>
    <row r="2644" spans="1:7" x14ac:dyDescent="0.25">
      <c r="A2644" s="40"/>
      <c r="E2644" s="54"/>
      <c r="F2644" s="2"/>
      <c r="G2644"/>
    </row>
    <row r="2645" spans="1:7" x14ac:dyDescent="0.25">
      <c r="A2645" s="40"/>
      <c r="E2645" s="54"/>
      <c r="F2645" s="2"/>
      <c r="G2645"/>
    </row>
    <row r="2646" spans="1:7" x14ac:dyDescent="0.25">
      <c r="A2646" s="40"/>
      <c r="E2646" s="54"/>
      <c r="F2646" s="2"/>
      <c r="G2646"/>
    </row>
    <row r="2647" spans="1:7" x14ac:dyDescent="0.25">
      <c r="A2647" s="40"/>
      <c r="E2647" s="54"/>
      <c r="F2647" s="2"/>
      <c r="G2647"/>
    </row>
    <row r="2648" spans="1:7" x14ac:dyDescent="0.25">
      <c r="A2648" s="40"/>
      <c r="E2648" s="54"/>
      <c r="F2648" s="2"/>
      <c r="G2648"/>
    </row>
    <row r="2649" spans="1:7" x14ac:dyDescent="0.25">
      <c r="A2649" s="40"/>
      <c r="E2649" s="54"/>
      <c r="F2649" s="2"/>
      <c r="G2649"/>
    </row>
    <row r="2650" spans="1:7" x14ac:dyDescent="0.25">
      <c r="A2650" s="40"/>
      <c r="E2650" s="54"/>
      <c r="F2650" s="2"/>
      <c r="G2650"/>
    </row>
    <row r="2651" spans="1:7" x14ac:dyDescent="0.25">
      <c r="A2651" s="40"/>
      <c r="E2651" s="54"/>
      <c r="F2651" s="2"/>
      <c r="G2651"/>
    </row>
    <row r="2652" spans="1:7" x14ac:dyDescent="0.25">
      <c r="A2652" s="39"/>
      <c r="E2652" s="54"/>
      <c r="F2652" s="2"/>
      <c r="G2652"/>
    </row>
    <row r="2653" spans="1:7" x14ac:dyDescent="0.25">
      <c r="A2653" s="39"/>
      <c r="E2653" s="54"/>
      <c r="F2653" s="2"/>
      <c r="G2653"/>
    </row>
    <row r="2654" spans="1:7" x14ac:dyDescent="0.25">
      <c r="A2654" s="39"/>
      <c r="E2654" s="54"/>
      <c r="F2654" s="2"/>
      <c r="G2654"/>
    </row>
    <row r="2655" spans="1:7" x14ac:dyDescent="0.25">
      <c r="A2655" s="39"/>
      <c r="E2655" s="54"/>
      <c r="F2655" s="2"/>
      <c r="G2655"/>
    </row>
    <row r="2656" spans="1:7" x14ac:dyDescent="0.25">
      <c r="A2656" s="39"/>
      <c r="E2656" s="54"/>
      <c r="F2656" s="2"/>
      <c r="G2656"/>
    </row>
    <row r="2657" spans="1:7" x14ac:dyDescent="0.25">
      <c r="A2657" s="39"/>
      <c r="E2657" s="54"/>
      <c r="F2657" s="2"/>
      <c r="G2657"/>
    </row>
    <row r="2658" spans="1:7" x14ac:dyDescent="0.25">
      <c r="A2658" s="39"/>
      <c r="E2658" s="54"/>
      <c r="F2658" s="2"/>
      <c r="G2658"/>
    </row>
    <row r="2659" spans="1:7" x14ac:dyDescent="0.25">
      <c r="A2659" s="40"/>
      <c r="E2659" s="54"/>
      <c r="F2659" s="2"/>
      <c r="G2659"/>
    </row>
    <row r="2660" spans="1:7" x14ac:dyDescent="0.25">
      <c r="A2660" s="40"/>
      <c r="E2660" s="54"/>
      <c r="F2660" s="2"/>
      <c r="G2660"/>
    </row>
    <row r="2661" spans="1:7" x14ac:dyDescent="0.25">
      <c r="A2661" s="40"/>
      <c r="E2661" s="54"/>
      <c r="F2661" s="2"/>
      <c r="G2661"/>
    </row>
    <row r="2662" spans="1:7" x14ac:dyDescent="0.25">
      <c r="A2662" s="40"/>
      <c r="E2662" s="54"/>
      <c r="F2662" s="2"/>
      <c r="G2662"/>
    </row>
    <row r="2663" spans="1:7" x14ac:dyDescent="0.25">
      <c r="A2663" s="40"/>
      <c r="E2663" s="54"/>
      <c r="F2663" s="2"/>
      <c r="G2663"/>
    </row>
    <row r="2664" spans="1:7" x14ac:dyDescent="0.25">
      <c r="A2664" s="39"/>
      <c r="E2664" s="54"/>
      <c r="F2664" s="2"/>
      <c r="G2664"/>
    </row>
    <row r="2665" spans="1:7" x14ac:dyDescent="0.25">
      <c r="A2665" s="40"/>
      <c r="E2665" s="54"/>
      <c r="F2665" s="2"/>
      <c r="G2665"/>
    </row>
    <row r="2666" spans="1:7" x14ac:dyDescent="0.25">
      <c r="A2666" s="40"/>
      <c r="E2666" s="54"/>
      <c r="F2666" s="2"/>
      <c r="G2666"/>
    </row>
    <row r="2667" spans="1:7" x14ac:dyDescent="0.25">
      <c r="A2667" s="40"/>
      <c r="E2667" s="54"/>
      <c r="F2667" s="2"/>
      <c r="G2667"/>
    </row>
    <row r="2668" spans="1:7" x14ac:dyDescent="0.25">
      <c r="A2668" s="40"/>
      <c r="E2668" s="54"/>
      <c r="F2668" s="2"/>
      <c r="G2668"/>
    </row>
    <row r="2669" spans="1:7" x14ac:dyDescent="0.25">
      <c r="A2669" s="40"/>
      <c r="E2669" s="54"/>
      <c r="F2669" s="2"/>
      <c r="G2669"/>
    </row>
    <row r="2670" spans="1:7" x14ac:dyDescent="0.25">
      <c r="A2670" s="40"/>
      <c r="E2670" s="54"/>
      <c r="F2670" s="2"/>
      <c r="G2670"/>
    </row>
    <row r="2671" spans="1:7" x14ac:dyDescent="0.25">
      <c r="A2671" s="40"/>
      <c r="E2671" s="54"/>
      <c r="F2671" s="2"/>
      <c r="G2671"/>
    </row>
    <row r="2672" spans="1:7" x14ac:dyDescent="0.25">
      <c r="A2672" s="40"/>
      <c r="E2672" s="54"/>
      <c r="F2672" s="2"/>
      <c r="G2672"/>
    </row>
    <row r="2673" spans="1:7" x14ac:dyDescent="0.25">
      <c r="A2673" s="39"/>
      <c r="E2673" s="54"/>
      <c r="F2673" s="2"/>
      <c r="G2673"/>
    </row>
    <row r="2674" spans="1:7" x14ac:dyDescent="0.25">
      <c r="A2674" s="39"/>
      <c r="E2674" s="54"/>
      <c r="F2674" s="2"/>
      <c r="G2674"/>
    </row>
    <row r="2675" spans="1:7" x14ac:dyDescent="0.25">
      <c r="A2675" s="39"/>
      <c r="E2675" s="54"/>
      <c r="F2675" s="2"/>
      <c r="G2675"/>
    </row>
    <row r="2676" spans="1:7" x14ac:dyDescent="0.25">
      <c r="A2676" s="39"/>
      <c r="E2676" s="54"/>
      <c r="F2676" s="2"/>
      <c r="G2676"/>
    </row>
    <row r="2677" spans="1:7" x14ac:dyDescent="0.25">
      <c r="A2677" s="39"/>
      <c r="E2677" s="54"/>
      <c r="F2677" s="2"/>
      <c r="G2677"/>
    </row>
    <row r="2678" spans="1:7" x14ac:dyDescent="0.25">
      <c r="A2678" s="39"/>
      <c r="E2678" s="54"/>
      <c r="F2678" s="2"/>
      <c r="G2678"/>
    </row>
    <row r="2679" spans="1:7" x14ac:dyDescent="0.25">
      <c r="A2679" s="39"/>
      <c r="E2679" s="54"/>
      <c r="F2679" s="2"/>
      <c r="G2679"/>
    </row>
    <row r="2680" spans="1:7" x14ac:dyDescent="0.25">
      <c r="A2680" s="39"/>
      <c r="E2680" s="54"/>
      <c r="F2680" s="2"/>
      <c r="G2680"/>
    </row>
    <row r="2681" spans="1:7" x14ac:dyDescent="0.25">
      <c r="A2681" s="39"/>
      <c r="E2681" s="54"/>
      <c r="F2681" s="2"/>
      <c r="G2681"/>
    </row>
    <row r="2682" spans="1:7" x14ac:dyDescent="0.25">
      <c r="A2682" s="40"/>
      <c r="E2682" s="54"/>
      <c r="F2682" s="2"/>
      <c r="G2682"/>
    </row>
    <row r="2683" spans="1:7" x14ac:dyDescent="0.25">
      <c r="A2683" s="39"/>
      <c r="E2683" s="54"/>
      <c r="F2683" s="2"/>
      <c r="G2683"/>
    </row>
    <row r="2684" spans="1:7" x14ac:dyDescent="0.25">
      <c r="A2684" s="39"/>
      <c r="E2684" s="54"/>
      <c r="F2684" s="2"/>
      <c r="G2684"/>
    </row>
    <row r="2685" spans="1:7" x14ac:dyDescent="0.25">
      <c r="A2685" s="39"/>
      <c r="E2685" s="54"/>
      <c r="F2685" s="2"/>
      <c r="G2685"/>
    </row>
    <row r="2686" spans="1:7" x14ac:dyDescent="0.25">
      <c r="A2686" s="39"/>
      <c r="E2686" s="54"/>
      <c r="F2686" s="2"/>
      <c r="G2686"/>
    </row>
    <row r="2687" spans="1:7" x14ac:dyDescent="0.25">
      <c r="A2687" s="40"/>
      <c r="E2687" s="54"/>
      <c r="F2687" s="2"/>
      <c r="G2687"/>
    </row>
    <row r="2688" spans="1:7" x14ac:dyDescent="0.25">
      <c r="A2688" s="40"/>
      <c r="E2688" s="54"/>
      <c r="F2688" s="2"/>
      <c r="G2688"/>
    </row>
    <row r="2689" spans="1:7" x14ac:dyDescent="0.25">
      <c r="A2689" s="40"/>
      <c r="E2689" s="54"/>
      <c r="F2689" s="2"/>
      <c r="G2689"/>
    </row>
    <row r="2690" spans="1:7" x14ac:dyDescent="0.25">
      <c r="G2690"/>
    </row>
    <row r="2691" spans="1:7" x14ac:dyDescent="0.25">
      <c r="A2691" s="39"/>
      <c r="E2691" s="54"/>
      <c r="F2691" s="2"/>
      <c r="G2691"/>
    </row>
    <row r="2692" spans="1:7" x14ac:dyDescent="0.25">
      <c r="A2692" s="40"/>
      <c r="E2692" s="54"/>
      <c r="F2692" s="2"/>
      <c r="G2692"/>
    </row>
    <row r="2693" spans="1:7" x14ac:dyDescent="0.25">
      <c r="A2693" s="39"/>
      <c r="E2693" s="54"/>
      <c r="F2693" s="2"/>
      <c r="G2693"/>
    </row>
    <row r="2694" spans="1:7" x14ac:dyDescent="0.25">
      <c r="A2694" s="40"/>
      <c r="E2694" s="54"/>
      <c r="F2694" s="2"/>
      <c r="G2694"/>
    </row>
    <row r="2695" spans="1:7" x14ac:dyDescent="0.25">
      <c r="A2695" s="39"/>
      <c r="E2695" s="54"/>
      <c r="F2695" s="2"/>
      <c r="G2695"/>
    </row>
    <row r="2696" spans="1:7" x14ac:dyDescent="0.25">
      <c r="A2696" s="39"/>
      <c r="E2696" s="54"/>
      <c r="F2696" s="2"/>
      <c r="G2696"/>
    </row>
    <row r="2697" spans="1:7" x14ac:dyDescent="0.25">
      <c r="A2697" s="39"/>
      <c r="E2697" s="54"/>
      <c r="F2697" s="2"/>
      <c r="G2697"/>
    </row>
    <row r="2698" spans="1:7" x14ac:dyDescent="0.25">
      <c r="A2698" s="39"/>
      <c r="E2698" s="54"/>
      <c r="F2698" s="2"/>
      <c r="G2698"/>
    </row>
    <row r="2699" spans="1:7" x14ac:dyDescent="0.25">
      <c r="A2699" s="39"/>
      <c r="E2699" s="54"/>
      <c r="F2699" s="2"/>
      <c r="G2699"/>
    </row>
    <row r="2700" spans="1:7" x14ac:dyDescent="0.25">
      <c r="A2700" s="40"/>
      <c r="E2700" s="54"/>
      <c r="F2700" s="2"/>
      <c r="G2700"/>
    </row>
    <row r="2701" spans="1:7" x14ac:dyDescent="0.25">
      <c r="A2701" s="40"/>
      <c r="E2701" s="54"/>
      <c r="F2701" s="2"/>
      <c r="G2701"/>
    </row>
    <row r="2702" spans="1:7" x14ac:dyDescent="0.25">
      <c r="A2702" s="40"/>
      <c r="E2702" s="54"/>
      <c r="F2702" s="2"/>
      <c r="G2702"/>
    </row>
    <row r="2703" spans="1:7" x14ac:dyDescent="0.25">
      <c r="A2703" s="39"/>
      <c r="E2703" s="54"/>
      <c r="F2703" s="2"/>
      <c r="G2703"/>
    </row>
    <row r="2704" spans="1:7" x14ac:dyDescent="0.25">
      <c r="A2704" s="39"/>
      <c r="E2704" s="54"/>
      <c r="F2704" s="2"/>
      <c r="G2704"/>
    </row>
    <row r="2705" spans="1:7" x14ac:dyDescent="0.25">
      <c r="A2705" s="39"/>
      <c r="E2705" s="54"/>
      <c r="F2705" s="2"/>
      <c r="G2705"/>
    </row>
    <row r="2706" spans="1:7" x14ac:dyDescent="0.25">
      <c r="A2706" s="39"/>
      <c r="E2706" s="54"/>
      <c r="F2706" s="2"/>
      <c r="G2706"/>
    </row>
    <row r="2707" spans="1:7" x14ac:dyDescent="0.25">
      <c r="A2707" s="39"/>
      <c r="E2707" s="54"/>
      <c r="F2707" s="2"/>
      <c r="G2707"/>
    </row>
    <row r="2708" spans="1:7" x14ac:dyDescent="0.25">
      <c r="A2708" s="40"/>
      <c r="E2708" s="54"/>
      <c r="F2708" s="2"/>
      <c r="G2708"/>
    </row>
    <row r="2709" spans="1:7" x14ac:dyDescent="0.25">
      <c r="A2709" s="40"/>
      <c r="E2709" s="54"/>
      <c r="F2709" s="2"/>
      <c r="G2709"/>
    </row>
    <row r="2710" spans="1:7" x14ac:dyDescent="0.25">
      <c r="A2710" s="40"/>
      <c r="E2710" s="54"/>
      <c r="F2710" s="2"/>
      <c r="G2710"/>
    </row>
    <row r="2711" spans="1:7" x14ac:dyDescent="0.25">
      <c r="A2711" s="40"/>
      <c r="E2711" s="54"/>
      <c r="F2711" s="2"/>
      <c r="G2711"/>
    </row>
    <row r="2712" spans="1:7" x14ac:dyDescent="0.25">
      <c r="A2712" s="40"/>
      <c r="E2712" s="54"/>
      <c r="F2712" s="2"/>
      <c r="G2712"/>
    </row>
    <row r="2713" spans="1:7" x14ac:dyDescent="0.25">
      <c r="A2713" s="40"/>
      <c r="E2713" s="54"/>
      <c r="F2713" s="2"/>
      <c r="G2713"/>
    </row>
    <row r="2714" spans="1:7" x14ac:dyDescent="0.25">
      <c r="A2714" s="40"/>
      <c r="E2714" s="54"/>
      <c r="F2714" s="2"/>
      <c r="G2714"/>
    </row>
    <row r="2715" spans="1:7" x14ac:dyDescent="0.25">
      <c r="A2715" s="39"/>
      <c r="E2715" s="54"/>
      <c r="F2715" s="2"/>
      <c r="G2715"/>
    </row>
    <row r="2716" spans="1:7" x14ac:dyDescent="0.25">
      <c r="A2716" s="39"/>
      <c r="E2716" s="54"/>
      <c r="F2716" s="2"/>
      <c r="G2716"/>
    </row>
    <row r="2717" spans="1:7" x14ac:dyDescent="0.25">
      <c r="A2717" s="39"/>
      <c r="E2717" s="54"/>
      <c r="F2717" s="2"/>
      <c r="G2717"/>
    </row>
    <row r="2718" spans="1:7" x14ac:dyDescent="0.25">
      <c r="A2718" s="39"/>
      <c r="E2718" s="54"/>
      <c r="F2718" s="2"/>
      <c r="G2718"/>
    </row>
    <row r="2719" spans="1:7" x14ac:dyDescent="0.25">
      <c r="A2719" s="39"/>
      <c r="E2719" s="54"/>
      <c r="F2719" s="2"/>
      <c r="G2719"/>
    </row>
    <row r="2720" spans="1:7" x14ac:dyDescent="0.25">
      <c r="A2720" s="39"/>
      <c r="E2720" s="54"/>
      <c r="F2720" s="2"/>
      <c r="G2720"/>
    </row>
    <row r="2721" spans="1:7" x14ac:dyDescent="0.25">
      <c r="A2721" s="39"/>
      <c r="E2721" s="54"/>
      <c r="F2721" s="2"/>
      <c r="G2721"/>
    </row>
    <row r="2722" spans="1:7" x14ac:dyDescent="0.25">
      <c r="A2722" s="39"/>
      <c r="E2722" s="54"/>
      <c r="F2722" s="2"/>
      <c r="G2722"/>
    </row>
    <row r="2723" spans="1:7" x14ac:dyDescent="0.25">
      <c r="A2723" s="39"/>
      <c r="E2723" s="54"/>
      <c r="F2723" s="2"/>
      <c r="G2723"/>
    </row>
    <row r="2724" spans="1:7" x14ac:dyDescent="0.25">
      <c r="A2724" s="40"/>
      <c r="E2724" s="54"/>
      <c r="F2724" s="2"/>
      <c r="G2724"/>
    </row>
    <row r="2725" spans="1:7" x14ac:dyDescent="0.25">
      <c r="A2725" s="40"/>
      <c r="E2725" s="54"/>
      <c r="F2725" s="2"/>
      <c r="G2725"/>
    </row>
    <row r="2726" spans="1:7" x14ac:dyDescent="0.25">
      <c r="A2726" s="40"/>
      <c r="E2726" s="54"/>
      <c r="F2726" s="2"/>
      <c r="G2726"/>
    </row>
    <row r="2727" spans="1:7" x14ac:dyDescent="0.25">
      <c r="A2727" s="40"/>
      <c r="E2727" s="54"/>
      <c r="F2727" s="2"/>
      <c r="G2727"/>
    </row>
    <row r="2728" spans="1:7" x14ac:dyDescent="0.25">
      <c r="A2728" s="40"/>
      <c r="E2728" s="54"/>
      <c r="F2728" s="2"/>
      <c r="G2728"/>
    </row>
    <row r="2729" spans="1:7" x14ac:dyDescent="0.25">
      <c r="A2729" s="40"/>
      <c r="E2729" s="54"/>
      <c r="F2729" s="2"/>
      <c r="G2729"/>
    </row>
    <row r="2730" spans="1:7" x14ac:dyDescent="0.25">
      <c r="A2730" s="40"/>
      <c r="E2730" s="54"/>
      <c r="F2730" s="2"/>
      <c r="G2730"/>
    </row>
    <row r="2731" spans="1:7" x14ac:dyDescent="0.25">
      <c r="A2731" s="40"/>
      <c r="E2731" s="54"/>
      <c r="F2731" s="2"/>
      <c r="G2731"/>
    </row>
    <row r="2732" spans="1:7" x14ac:dyDescent="0.25">
      <c r="A2732" s="40"/>
      <c r="E2732" s="54"/>
      <c r="F2732" s="2"/>
      <c r="G2732"/>
    </row>
    <row r="2733" spans="1:7" x14ac:dyDescent="0.25">
      <c r="A2733" s="40"/>
      <c r="E2733" s="54"/>
      <c r="F2733" s="2"/>
      <c r="G2733"/>
    </row>
    <row r="2734" spans="1:7" x14ac:dyDescent="0.25">
      <c r="A2734" s="40"/>
      <c r="E2734" s="54"/>
      <c r="F2734" s="2"/>
      <c r="G2734"/>
    </row>
    <row r="2735" spans="1:7" x14ac:dyDescent="0.25">
      <c r="A2735" s="40"/>
      <c r="E2735" s="54"/>
      <c r="F2735" s="2"/>
      <c r="G2735"/>
    </row>
    <row r="2736" spans="1:7" x14ac:dyDescent="0.25">
      <c r="A2736" s="40"/>
      <c r="E2736" s="54"/>
      <c r="F2736" s="2"/>
      <c r="G2736"/>
    </row>
    <row r="2737" spans="1:7" x14ac:dyDescent="0.25">
      <c r="A2737" s="40"/>
      <c r="E2737" s="54"/>
      <c r="F2737" s="2"/>
      <c r="G2737"/>
    </row>
    <row r="2738" spans="1:7" x14ac:dyDescent="0.25">
      <c r="A2738" s="39"/>
      <c r="E2738" s="54"/>
      <c r="F2738" s="2"/>
      <c r="G2738"/>
    </row>
    <row r="2739" spans="1:7" x14ac:dyDescent="0.25">
      <c r="A2739" s="39"/>
      <c r="E2739" s="54"/>
      <c r="F2739" s="2"/>
      <c r="G2739"/>
    </row>
    <row r="2740" spans="1:7" x14ac:dyDescent="0.25">
      <c r="A2740" s="40"/>
      <c r="E2740" s="54"/>
      <c r="F2740" s="2"/>
      <c r="G2740"/>
    </row>
    <row r="2741" spans="1:7" x14ac:dyDescent="0.25">
      <c r="A2741" s="40"/>
      <c r="E2741" s="54"/>
      <c r="F2741" s="2"/>
      <c r="G2741"/>
    </row>
    <row r="2742" spans="1:7" x14ac:dyDescent="0.25">
      <c r="A2742" s="40"/>
      <c r="E2742" s="54"/>
      <c r="F2742" s="2"/>
      <c r="G2742"/>
    </row>
    <row r="2743" spans="1:7" x14ac:dyDescent="0.25">
      <c r="A2743" s="40"/>
      <c r="E2743" s="54"/>
      <c r="F2743" s="2"/>
      <c r="G2743"/>
    </row>
    <row r="2744" spans="1:7" x14ac:dyDescent="0.25">
      <c r="A2744" s="40"/>
      <c r="E2744" s="54"/>
      <c r="F2744" s="2"/>
      <c r="G2744"/>
    </row>
    <row r="2745" spans="1:7" x14ac:dyDescent="0.25">
      <c r="A2745" s="40"/>
      <c r="E2745" s="54"/>
      <c r="F2745" s="2"/>
      <c r="G2745"/>
    </row>
    <row r="2746" spans="1:7" x14ac:dyDescent="0.25">
      <c r="A2746" s="40"/>
      <c r="E2746" s="54"/>
      <c r="F2746" s="2"/>
      <c r="G2746"/>
    </row>
    <row r="2747" spans="1:7" x14ac:dyDescent="0.25">
      <c r="A2747" s="40"/>
      <c r="E2747" s="54"/>
      <c r="F2747" s="2"/>
      <c r="G2747"/>
    </row>
    <row r="2748" spans="1:7" x14ac:dyDescent="0.25">
      <c r="A2748" s="40"/>
      <c r="E2748" s="54"/>
      <c r="F2748" s="2"/>
      <c r="G2748"/>
    </row>
    <row r="2749" spans="1:7" x14ac:dyDescent="0.25">
      <c r="A2749" s="39"/>
      <c r="E2749" s="54"/>
      <c r="F2749" s="2"/>
      <c r="G2749"/>
    </row>
    <row r="2750" spans="1:7" x14ac:dyDescent="0.25">
      <c r="A2750" s="40"/>
      <c r="E2750" s="54"/>
      <c r="F2750" s="2"/>
      <c r="G2750"/>
    </row>
    <row r="2751" spans="1:7" x14ac:dyDescent="0.25">
      <c r="A2751" s="39"/>
      <c r="E2751" s="54"/>
      <c r="F2751" s="2"/>
      <c r="G2751"/>
    </row>
    <row r="2752" spans="1:7" x14ac:dyDescent="0.25">
      <c r="A2752" s="39"/>
      <c r="E2752" s="54"/>
      <c r="F2752" s="2"/>
      <c r="G2752"/>
    </row>
    <row r="2753" spans="1:7" x14ac:dyDescent="0.25">
      <c r="A2753" s="39"/>
      <c r="E2753" s="54"/>
      <c r="F2753" s="2"/>
      <c r="G2753"/>
    </row>
    <row r="2754" spans="1:7" x14ac:dyDescent="0.25">
      <c r="A2754" s="39"/>
      <c r="E2754" s="54"/>
      <c r="F2754" s="2"/>
      <c r="G2754"/>
    </row>
    <row r="2755" spans="1:7" x14ac:dyDescent="0.25">
      <c r="A2755" s="39"/>
      <c r="E2755" s="54"/>
      <c r="F2755" s="2"/>
      <c r="G2755"/>
    </row>
    <row r="2756" spans="1:7" x14ac:dyDescent="0.25">
      <c r="A2756" s="39"/>
      <c r="E2756" s="54"/>
      <c r="F2756" s="2"/>
      <c r="G2756"/>
    </row>
    <row r="2757" spans="1:7" x14ac:dyDescent="0.25">
      <c r="A2757" s="48"/>
      <c r="E2757" s="54"/>
      <c r="F2757"/>
      <c r="G2757"/>
    </row>
    <row r="2758" spans="1:7" x14ac:dyDescent="0.25">
      <c r="A2758" s="39"/>
      <c r="E2758" s="54"/>
      <c r="F2758" s="2"/>
      <c r="G2758"/>
    </row>
    <row r="2759" spans="1:7" x14ac:dyDescent="0.25">
      <c r="A2759" s="39"/>
      <c r="E2759" s="54"/>
      <c r="F2759" s="2"/>
      <c r="G2759"/>
    </row>
    <row r="2760" spans="1:7" x14ac:dyDescent="0.25">
      <c r="A2760" s="39"/>
      <c r="E2760" s="54"/>
      <c r="F2760" s="2"/>
      <c r="G2760"/>
    </row>
    <row r="2761" spans="1:7" x14ac:dyDescent="0.25">
      <c r="A2761" s="39"/>
      <c r="E2761" s="54"/>
      <c r="F2761" s="2"/>
      <c r="G2761"/>
    </row>
    <row r="2762" spans="1:7" x14ac:dyDescent="0.25">
      <c r="A2762" s="39"/>
      <c r="E2762" s="54"/>
      <c r="F2762" s="2"/>
      <c r="G2762"/>
    </row>
    <row r="2763" spans="1:7" x14ac:dyDescent="0.25">
      <c r="A2763" s="40"/>
      <c r="E2763" s="54"/>
      <c r="F2763" s="2"/>
      <c r="G2763"/>
    </row>
    <row r="2764" spans="1:7" x14ac:dyDescent="0.25">
      <c r="A2764" s="39"/>
      <c r="E2764" s="54"/>
      <c r="F2764" s="2"/>
      <c r="G2764"/>
    </row>
    <row r="2765" spans="1:7" x14ac:dyDescent="0.25">
      <c r="A2765" s="39"/>
      <c r="E2765" s="54"/>
      <c r="F2765" s="2"/>
      <c r="G2765"/>
    </row>
    <row r="2766" spans="1:7" x14ac:dyDescent="0.25">
      <c r="A2766" s="39"/>
      <c r="E2766" s="54"/>
      <c r="F2766" s="2"/>
      <c r="G2766"/>
    </row>
    <row r="2767" spans="1:7" x14ac:dyDescent="0.25">
      <c r="A2767" s="39"/>
      <c r="E2767" s="54"/>
      <c r="F2767" s="2"/>
      <c r="G2767"/>
    </row>
    <row r="2768" spans="1:7" x14ac:dyDescent="0.25">
      <c r="A2768" s="40"/>
      <c r="E2768" s="54"/>
      <c r="F2768" s="2"/>
      <c r="G2768"/>
    </row>
    <row r="2769" spans="1:7" x14ac:dyDescent="0.25">
      <c r="A2769" s="40"/>
      <c r="E2769" s="54"/>
      <c r="F2769" s="2"/>
      <c r="G2769"/>
    </row>
    <row r="2770" spans="1:7" x14ac:dyDescent="0.25">
      <c r="A2770" s="40"/>
      <c r="E2770" s="54"/>
      <c r="F2770" s="2"/>
      <c r="G2770"/>
    </row>
    <row r="2771" spans="1:7" x14ac:dyDescent="0.25">
      <c r="G2771"/>
    </row>
    <row r="2772" spans="1:7" x14ac:dyDescent="0.25">
      <c r="A2772" s="40"/>
      <c r="E2772" s="54"/>
      <c r="F2772" s="2"/>
      <c r="G2772"/>
    </row>
    <row r="2773" spans="1:7" x14ac:dyDescent="0.25">
      <c r="A2773" s="40"/>
      <c r="E2773" s="54"/>
      <c r="F2773" s="2"/>
      <c r="G2773"/>
    </row>
    <row r="2774" spans="1:7" x14ac:dyDescent="0.25">
      <c r="A2774" s="40"/>
      <c r="E2774" s="54"/>
      <c r="F2774" s="2"/>
      <c r="G2774"/>
    </row>
    <row r="2775" spans="1:7" x14ac:dyDescent="0.25">
      <c r="A2775" s="40"/>
      <c r="E2775" s="54"/>
      <c r="F2775" s="2"/>
      <c r="G2775"/>
    </row>
    <row r="2776" spans="1:7" x14ac:dyDescent="0.25">
      <c r="A2776" s="40"/>
      <c r="E2776" s="54"/>
      <c r="F2776" s="2"/>
      <c r="G2776"/>
    </row>
    <row r="2777" spans="1:7" x14ac:dyDescent="0.25">
      <c r="A2777" s="40"/>
      <c r="E2777" s="54"/>
      <c r="F2777" s="2"/>
      <c r="G2777"/>
    </row>
    <row r="2778" spans="1:7" x14ac:dyDescent="0.25">
      <c r="A2778" s="40"/>
      <c r="E2778" s="54"/>
      <c r="F2778" s="2"/>
      <c r="G2778"/>
    </row>
    <row r="2779" spans="1:7" x14ac:dyDescent="0.25">
      <c r="A2779" s="40"/>
      <c r="E2779" s="54"/>
      <c r="F2779" s="2"/>
      <c r="G2779"/>
    </row>
    <row r="2780" spans="1:7" x14ac:dyDescent="0.25">
      <c r="A2780" s="40"/>
      <c r="E2780" s="54"/>
      <c r="F2780" s="2"/>
      <c r="G2780"/>
    </row>
    <row r="2781" spans="1:7" x14ac:dyDescent="0.25">
      <c r="A2781" s="40"/>
      <c r="E2781" s="54"/>
      <c r="F2781" s="2"/>
      <c r="G2781"/>
    </row>
    <row r="2782" spans="1:7" x14ac:dyDescent="0.25">
      <c r="A2782" s="40"/>
      <c r="E2782" s="54"/>
      <c r="F2782" s="2"/>
      <c r="G2782"/>
    </row>
    <row r="2783" spans="1:7" x14ac:dyDescent="0.25">
      <c r="A2783" s="39"/>
      <c r="E2783" s="54"/>
      <c r="F2783" s="2"/>
      <c r="G2783"/>
    </row>
    <row r="2784" spans="1:7" x14ac:dyDescent="0.25">
      <c r="A2784" s="40"/>
      <c r="E2784" s="54"/>
      <c r="F2784" s="2"/>
      <c r="G2784"/>
    </row>
    <row r="2785" spans="1:7" x14ac:dyDescent="0.25">
      <c r="A2785" s="40"/>
      <c r="E2785" s="54"/>
      <c r="F2785" s="2"/>
      <c r="G2785"/>
    </row>
    <row r="2786" spans="1:7" x14ac:dyDescent="0.25">
      <c r="A2786" s="39"/>
      <c r="E2786" s="54"/>
      <c r="F2786" s="2"/>
      <c r="G2786"/>
    </row>
    <row r="2787" spans="1:7" x14ac:dyDescent="0.25">
      <c r="A2787" s="48"/>
      <c r="E2787" s="54"/>
      <c r="F2787"/>
      <c r="G2787"/>
    </row>
    <row r="2788" spans="1:7" x14ac:dyDescent="0.25">
      <c r="A2788" s="40"/>
      <c r="E2788" s="54"/>
      <c r="F2788" s="2"/>
      <c r="G2788"/>
    </row>
    <row r="2789" spans="1:7" x14ac:dyDescent="0.25">
      <c r="A2789" s="40"/>
      <c r="E2789" s="54"/>
      <c r="F2789" s="2"/>
      <c r="G2789"/>
    </row>
    <row r="2790" spans="1:7" x14ac:dyDescent="0.25">
      <c r="A2790" s="40"/>
      <c r="E2790" s="54"/>
      <c r="F2790" s="2"/>
      <c r="G2790"/>
    </row>
    <row r="2791" spans="1:7" x14ac:dyDescent="0.25">
      <c r="A2791" s="40"/>
      <c r="E2791" s="54"/>
      <c r="F2791" s="2"/>
      <c r="G2791"/>
    </row>
    <row r="2792" spans="1:7" x14ac:dyDescent="0.25">
      <c r="A2792" s="40"/>
      <c r="E2792" s="54"/>
      <c r="F2792" s="2"/>
      <c r="G2792"/>
    </row>
    <row r="2793" spans="1:7" x14ac:dyDescent="0.25">
      <c r="A2793" s="40"/>
      <c r="E2793" s="54"/>
      <c r="F2793" s="2"/>
      <c r="G2793"/>
    </row>
    <row r="2794" spans="1:7" x14ac:dyDescent="0.25">
      <c r="A2794" s="40"/>
      <c r="E2794" s="54"/>
      <c r="F2794" s="2"/>
      <c r="G2794"/>
    </row>
    <row r="2795" spans="1:7" x14ac:dyDescent="0.25">
      <c r="A2795" s="39"/>
      <c r="E2795" s="54"/>
      <c r="F2795" s="2"/>
      <c r="G2795"/>
    </row>
    <row r="2796" spans="1:7" x14ac:dyDescent="0.25">
      <c r="A2796" s="48"/>
      <c r="E2796" s="54"/>
      <c r="F2796"/>
      <c r="G2796"/>
    </row>
    <row r="2797" spans="1:7" x14ac:dyDescent="0.25">
      <c r="A2797" s="48"/>
      <c r="E2797" s="54"/>
      <c r="F2797"/>
      <c r="G2797"/>
    </row>
    <row r="2798" spans="1:7" x14ac:dyDescent="0.25">
      <c r="A2798" s="48"/>
      <c r="E2798" s="54"/>
      <c r="F2798"/>
      <c r="G2798"/>
    </row>
    <row r="2799" spans="1:7" x14ac:dyDescent="0.25">
      <c r="A2799" s="48"/>
      <c r="E2799" s="54"/>
      <c r="F2799"/>
      <c r="G2799"/>
    </row>
    <row r="2800" spans="1:7" x14ac:dyDescent="0.25">
      <c r="A2800" s="48"/>
      <c r="E2800" s="54"/>
      <c r="F2800"/>
      <c r="G2800"/>
    </row>
    <row r="2801" spans="1:7" x14ac:dyDescent="0.25">
      <c r="A2801" s="48"/>
      <c r="E2801" s="54"/>
      <c r="F2801"/>
      <c r="G2801"/>
    </row>
    <row r="2802" spans="1:7" x14ac:dyDescent="0.25">
      <c r="A2802" s="48"/>
      <c r="E2802" s="54"/>
      <c r="F2802"/>
      <c r="G2802"/>
    </row>
    <row r="2803" spans="1:7" x14ac:dyDescent="0.25">
      <c r="A2803" s="48"/>
      <c r="E2803" s="54"/>
      <c r="F2803"/>
      <c r="G2803"/>
    </row>
    <row r="2804" spans="1:7" x14ac:dyDescent="0.25">
      <c r="A2804" s="39"/>
      <c r="E2804" s="54"/>
      <c r="F2804" s="2"/>
      <c r="G2804"/>
    </row>
    <row r="2805" spans="1:7" x14ac:dyDescent="0.25">
      <c r="G2805"/>
    </row>
    <row r="2806" spans="1:7" x14ac:dyDescent="0.25">
      <c r="A2806" s="39"/>
      <c r="E2806" s="54"/>
      <c r="F2806" s="2"/>
      <c r="G2806"/>
    </row>
    <row r="2807" spans="1:7" x14ac:dyDescent="0.25">
      <c r="G2807"/>
    </row>
    <row r="2808" spans="1:7" x14ac:dyDescent="0.25">
      <c r="G2808"/>
    </row>
    <row r="2809" spans="1:7" x14ac:dyDescent="0.25">
      <c r="G2809"/>
    </row>
    <row r="2810" spans="1:7" x14ac:dyDescent="0.25">
      <c r="G2810"/>
    </row>
    <row r="2811" spans="1:7" x14ac:dyDescent="0.25">
      <c r="A2811" s="40"/>
      <c r="E2811" s="54"/>
      <c r="F2811" s="2"/>
      <c r="G2811"/>
    </row>
    <row r="2812" spans="1:7" x14ac:dyDescent="0.25">
      <c r="A2812" s="42"/>
      <c r="E2812" s="54"/>
      <c r="F2812" s="2"/>
      <c r="G2812"/>
    </row>
    <row r="2813" spans="1:7" x14ac:dyDescent="0.25">
      <c r="A2813" s="42"/>
      <c r="E2813" s="54"/>
      <c r="F2813" s="2"/>
      <c r="G2813"/>
    </row>
    <row r="2814" spans="1:7" x14ac:dyDescent="0.25">
      <c r="A2814" s="42"/>
      <c r="E2814" s="54"/>
      <c r="F2814" s="2"/>
      <c r="G2814"/>
    </row>
    <row r="2815" spans="1:7" x14ac:dyDescent="0.25">
      <c r="A2815" s="42"/>
      <c r="E2815" s="54"/>
      <c r="F2815" s="2"/>
      <c r="G2815"/>
    </row>
    <row r="2816" spans="1:7" x14ac:dyDescent="0.25">
      <c r="A2816" s="42"/>
      <c r="E2816" s="54"/>
      <c r="F2816" s="2"/>
      <c r="G2816"/>
    </row>
    <row r="2817" spans="1:7" x14ac:dyDescent="0.25">
      <c r="A2817" s="42"/>
      <c r="E2817" s="54"/>
      <c r="F2817" s="2"/>
      <c r="G2817"/>
    </row>
    <row r="2818" spans="1:7" x14ac:dyDescent="0.25">
      <c r="A2818" s="42"/>
      <c r="E2818" s="54"/>
      <c r="F2818" s="2"/>
      <c r="G2818"/>
    </row>
    <row r="2819" spans="1:7" x14ac:dyDescent="0.25">
      <c r="A2819" s="42"/>
      <c r="E2819" s="54"/>
      <c r="F2819" s="2"/>
      <c r="G2819"/>
    </row>
    <row r="2820" spans="1:7" x14ac:dyDescent="0.25">
      <c r="A2820" s="42"/>
      <c r="E2820" s="54"/>
      <c r="F2820" s="2"/>
      <c r="G2820"/>
    </row>
    <row r="2821" spans="1:7" x14ac:dyDescent="0.25">
      <c r="A2821" s="42"/>
      <c r="E2821" s="54"/>
      <c r="F2821" s="2"/>
      <c r="G2821"/>
    </row>
    <row r="2822" spans="1:7" x14ac:dyDescent="0.25">
      <c r="A2822" s="42"/>
      <c r="E2822" s="54"/>
      <c r="F2822" s="2"/>
      <c r="G2822"/>
    </row>
    <row r="2823" spans="1:7" x14ac:dyDescent="0.25">
      <c r="A2823" s="42"/>
      <c r="E2823" s="54"/>
      <c r="F2823" s="2"/>
      <c r="G2823"/>
    </row>
    <row r="2824" spans="1:7" x14ac:dyDescent="0.25">
      <c r="A2824" s="42"/>
      <c r="E2824" s="54"/>
      <c r="F2824" s="2"/>
      <c r="G2824"/>
    </row>
    <row r="2825" spans="1:7" x14ac:dyDescent="0.25">
      <c r="A2825" s="42"/>
      <c r="E2825" s="54"/>
      <c r="F2825" s="2"/>
      <c r="G2825"/>
    </row>
    <row r="2826" spans="1:7" x14ac:dyDescent="0.25">
      <c r="A2826" s="42"/>
      <c r="E2826" s="54"/>
      <c r="F2826" s="2"/>
      <c r="G2826"/>
    </row>
    <row r="2827" spans="1:7" x14ac:dyDescent="0.25">
      <c r="A2827" s="42"/>
      <c r="E2827" s="54"/>
      <c r="F2827" s="2"/>
      <c r="G2827"/>
    </row>
    <row r="2828" spans="1:7" x14ac:dyDescent="0.25">
      <c r="A2828" s="42"/>
      <c r="E2828" s="54"/>
      <c r="F2828" s="2"/>
      <c r="G2828"/>
    </row>
    <row r="2829" spans="1:7" x14ac:dyDescent="0.25">
      <c r="A2829" s="42"/>
      <c r="E2829" s="54"/>
      <c r="F2829" s="2"/>
      <c r="G2829"/>
    </row>
    <row r="2830" spans="1:7" x14ac:dyDescent="0.25">
      <c r="A2830" s="42"/>
      <c r="E2830" s="54"/>
      <c r="F2830" s="2"/>
      <c r="G2830"/>
    </row>
    <row r="2831" spans="1:7" x14ac:dyDescent="0.25">
      <c r="A2831" s="42"/>
      <c r="E2831" s="54"/>
      <c r="F2831" s="2"/>
      <c r="G2831"/>
    </row>
    <row r="2832" spans="1:7" x14ac:dyDescent="0.25">
      <c r="A2832" s="42"/>
      <c r="E2832" s="54"/>
      <c r="F2832" s="2"/>
      <c r="G2832"/>
    </row>
    <row r="2833" spans="1:7" x14ac:dyDescent="0.25">
      <c r="A2833" s="42"/>
      <c r="E2833" s="54"/>
      <c r="F2833" s="2"/>
      <c r="G2833"/>
    </row>
    <row r="2834" spans="1:7" x14ac:dyDescent="0.25">
      <c r="A2834" s="40"/>
      <c r="E2834" s="54"/>
      <c r="F2834" s="2"/>
      <c r="G2834"/>
    </row>
    <row r="2835" spans="1:7" x14ac:dyDescent="0.25">
      <c r="A2835" s="42"/>
      <c r="E2835" s="54"/>
      <c r="F2835" s="2"/>
      <c r="G2835"/>
    </row>
    <row r="2836" spans="1:7" x14ac:dyDescent="0.25">
      <c r="A2836" s="40"/>
      <c r="E2836" s="54"/>
      <c r="F2836" s="2"/>
      <c r="G2836"/>
    </row>
    <row r="2837" spans="1:7" x14ac:dyDescent="0.25">
      <c r="A2837" s="40"/>
      <c r="E2837" s="54"/>
      <c r="F2837" s="2"/>
      <c r="G2837"/>
    </row>
    <row r="2838" spans="1:7" x14ac:dyDescent="0.25">
      <c r="A2838" s="40"/>
      <c r="E2838" s="54"/>
      <c r="F2838" s="2"/>
      <c r="G2838"/>
    </row>
    <row r="2839" spans="1:7" x14ac:dyDescent="0.25">
      <c r="A2839" s="40"/>
      <c r="E2839" s="54"/>
      <c r="F2839" s="2"/>
      <c r="G2839"/>
    </row>
    <row r="2840" spans="1:7" x14ac:dyDescent="0.25">
      <c r="A2840" s="40"/>
      <c r="E2840" s="54"/>
      <c r="F2840" s="2"/>
      <c r="G2840"/>
    </row>
    <row r="2841" spans="1:7" x14ac:dyDescent="0.25">
      <c r="A2841" s="39"/>
      <c r="E2841" s="54"/>
      <c r="F2841" s="2"/>
      <c r="G2841"/>
    </row>
    <row r="2842" spans="1:7" x14ac:dyDescent="0.25">
      <c r="A2842" s="40"/>
      <c r="E2842" s="54"/>
      <c r="F2842" s="2"/>
      <c r="G2842"/>
    </row>
    <row r="2843" spans="1:7" x14ac:dyDescent="0.25">
      <c r="A2843" s="40"/>
      <c r="E2843" s="54"/>
      <c r="F2843" s="2"/>
      <c r="G2843"/>
    </row>
    <row r="2844" spans="1:7" x14ac:dyDescent="0.25">
      <c r="A2844" s="40"/>
      <c r="E2844" s="54"/>
      <c r="F2844" s="2"/>
      <c r="G2844"/>
    </row>
    <row r="2845" spans="1:7" x14ac:dyDescent="0.25">
      <c r="A2845" s="40"/>
      <c r="E2845" s="54"/>
      <c r="F2845" s="2"/>
      <c r="G2845"/>
    </row>
    <row r="2846" spans="1:7" x14ac:dyDescent="0.25">
      <c r="A2846" s="40"/>
      <c r="E2846" s="54"/>
      <c r="F2846" s="2"/>
      <c r="G2846"/>
    </row>
    <row r="2847" spans="1:7" x14ac:dyDescent="0.25">
      <c r="A2847" s="40"/>
      <c r="E2847" s="54"/>
      <c r="F2847" s="2"/>
      <c r="G2847"/>
    </row>
    <row r="2848" spans="1:7" x14ac:dyDescent="0.25">
      <c r="A2848" s="40"/>
      <c r="E2848" s="54"/>
      <c r="F2848" s="2"/>
      <c r="G2848"/>
    </row>
    <row r="2849" spans="1:7" x14ac:dyDescent="0.25">
      <c r="A2849" s="40"/>
      <c r="E2849" s="54"/>
      <c r="F2849" s="2"/>
      <c r="G2849"/>
    </row>
    <row r="2850" spans="1:7" x14ac:dyDescent="0.25">
      <c r="A2850" s="40"/>
      <c r="E2850" s="54"/>
      <c r="F2850" s="2"/>
      <c r="G2850"/>
    </row>
    <row r="2851" spans="1:7" x14ac:dyDescent="0.25">
      <c r="A2851" s="40"/>
      <c r="E2851" s="54"/>
      <c r="F2851" s="2"/>
      <c r="G2851"/>
    </row>
    <row r="2852" spans="1:7" x14ac:dyDescent="0.25">
      <c r="A2852" s="40"/>
      <c r="E2852" s="54"/>
      <c r="F2852" s="2"/>
      <c r="G2852"/>
    </row>
    <row r="2853" spans="1:7" x14ac:dyDescent="0.25">
      <c r="A2853" s="40"/>
      <c r="E2853" s="54"/>
      <c r="F2853" s="2"/>
      <c r="G2853"/>
    </row>
    <row r="2854" spans="1:7" x14ac:dyDescent="0.25">
      <c r="A2854" s="40"/>
      <c r="E2854" s="54"/>
      <c r="F2854" s="2"/>
      <c r="G2854"/>
    </row>
    <row r="2855" spans="1:7" x14ac:dyDescent="0.25">
      <c r="A2855" s="40"/>
      <c r="E2855" s="54"/>
      <c r="F2855" s="2"/>
      <c r="G2855"/>
    </row>
    <row r="2856" spans="1:7" x14ac:dyDescent="0.25">
      <c r="A2856" s="40"/>
      <c r="E2856" s="54"/>
      <c r="F2856" s="2"/>
      <c r="G2856"/>
    </row>
    <row r="2857" spans="1:7" x14ac:dyDescent="0.25">
      <c r="A2857" s="40"/>
      <c r="E2857" s="54"/>
      <c r="F2857" s="2"/>
      <c r="G2857"/>
    </row>
    <row r="2858" spans="1:7" x14ac:dyDescent="0.25">
      <c r="A2858" s="40"/>
      <c r="E2858" s="54"/>
      <c r="F2858" s="2"/>
      <c r="G2858"/>
    </row>
    <row r="2859" spans="1:7" x14ac:dyDescent="0.25">
      <c r="A2859" s="40"/>
      <c r="E2859" s="54"/>
      <c r="F2859" s="2"/>
      <c r="G2859"/>
    </row>
    <row r="2860" spans="1:7" x14ac:dyDescent="0.25">
      <c r="A2860" s="40"/>
      <c r="E2860" s="54"/>
      <c r="F2860" s="2"/>
      <c r="G2860"/>
    </row>
    <row r="2861" spans="1:7" x14ac:dyDescent="0.25">
      <c r="A2861" s="40"/>
      <c r="E2861" s="54"/>
      <c r="F2861" s="2"/>
      <c r="G2861"/>
    </row>
    <row r="2862" spans="1:7" x14ac:dyDescent="0.25">
      <c r="A2862" s="40"/>
      <c r="E2862" s="54"/>
      <c r="F2862" s="2"/>
      <c r="G2862"/>
    </row>
    <row r="2863" spans="1:7" x14ac:dyDescent="0.25">
      <c r="A2863" s="40"/>
      <c r="E2863" s="54"/>
      <c r="F2863" s="2"/>
      <c r="G2863"/>
    </row>
    <row r="2864" spans="1:7" x14ac:dyDescent="0.25">
      <c r="A2864" s="40"/>
      <c r="E2864" s="54"/>
      <c r="F2864" s="2"/>
      <c r="G2864"/>
    </row>
    <row r="2865" spans="1:7" x14ac:dyDescent="0.25">
      <c r="A2865" s="40"/>
      <c r="E2865" s="54"/>
      <c r="F2865" s="2"/>
      <c r="G2865"/>
    </row>
    <row r="2866" spans="1:7" x14ac:dyDescent="0.25">
      <c r="A2866" s="40"/>
      <c r="E2866" s="54"/>
      <c r="F2866" s="2"/>
      <c r="G2866"/>
    </row>
    <row r="2867" spans="1:7" x14ac:dyDescent="0.25">
      <c r="A2867" s="40"/>
      <c r="E2867" s="54"/>
      <c r="G2867"/>
    </row>
    <row r="2868" spans="1:7" x14ac:dyDescent="0.25">
      <c r="A2868" s="40"/>
      <c r="E2868" s="54"/>
      <c r="F2868" s="2"/>
      <c r="G2868"/>
    </row>
    <row r="2869" spans="1:7" x14ac:dyDescent="0.25">
      <c r="A2869" s="40"/>
      <c r="E2869" s="54"/>
      <c r="F2869" s="2"/>
      <c r="G2869"/>
    </row>
    <row r="2870" spans="1:7" x14ac:dyDescent="0.25">
      <c r="A2870" s="40"/>
      <c r="E2870" s="54"/>
      <c r="F2870" s="2"/>
      <c r="G2870"/>
    </row>
    <row r="2871" spans="1:7" x14ac:dyDescent="0.25">
      <c r="A2871" s="40"/>
      <c r="E2871" s="54"/>
      <c r="F2871" s="2"/>
      <c r="G2871"/>
    </row>
    <row r="2872" spans="1:7" x14ac:dyDescent="0.25">
      <c r="A2872" s="40"/>
      <c r="E2872" s="54"/>
      <c r="F2872" s="2"/>
      <c r="G2872"/>
    </row>
    <row r="2873" spans="1:7" x14ac:dyDescent="0.25">
      <c r="A2873" s="40"/>
      <c r="E2873" s="54"/>
      <c r="F2873" s="2"/>
      <c r="G2873"/>
    </row>
    <row r="2874" spans="1:7" x14ac:dyDescent="0.25">
      <c r="A2874" s="40"/>
      <c r="E2874" s="54"/>
      <c r="F2874" s="2"/>
      <c r="G2874"/>
    </row>
    <row r="2875" spans="1:7" x14ac:dyDescent="0.25">
      <c r="A2875" s="40"/>
      <c r="E2875" s="54"/>
      <c r="F2875" s="2"/>
      <c r="G2875"/>
    </row>
    <row r="2876" spans="1:7" x14ac:dyDescent="0.25">
      <c r="A2876" s="40"/>
      <c r="E2876" s="54"/>
      <c r="F2876" s="2"/>
      <c r="G2876"/>
    </row>
    <row r="2877" spans="1:7" x14ac:dyDescent="0.25">
      <c r="A2877" s="40"/>
      <c r="E2877" s="54"/>
      <c r="F2877" s="2"/>
      <c r="G2877"/>
    </row>
    <row r="2878" spans="1:7" x14ac:dyDescent="0.25">
      <c r="A2878" s="40"/>
      <c r="E2878" s="54"/>
      <c r="F2878" s="2"/>
      <c r="G2878"/>
    </row>
    <row r="2879" spans="1:7" x14ac:dyDescent="0.25">
      <c r="A2879" s="40"/>
      <c r="E2879" s="54"/>
      <c r="F2879" s="2"/>
      <c r="G2879"/>
    </row>
    <row r="2880" spans="1:7" x14ac:dyDescent="0.25">
      <c r="A2880" s="40"/>
      <c r="E2880" s="54"/>
      <c r="F2880" s="2"/>
      <c r="G2880"/>
    </row>
    <row r="2881" spans="1:7" x14ac:dyDescent="0.25">
      <c r="A2881" s="40"/>
      <c r="E2881" s="54"/>
      <c r="F2881" s="2"/>
      <c r="G2881"/>
    </row>
    <row r="2882" spans="1:7" x14ac:dyDescent="0.25">
      <c r="A2882" s="40"/>
      <c r="E2882" s="54"/>
      <c r="F2882" s="2"/>
      <c r="G2882"/>
    </row>
    <row r="2883" spans="1:7" x14ac:dyDescent="0.25">
      <c r="A2883" s="40"/>
      <c r="E2883" s="54"/>
      <c r="F2883" s="2"/>
      <c r="G2883"/>
    </row>
    <row r="2884" spans="1:7" x14ac:dyDescent="0.25">
      <c r="A2884" s="40"/>
      <c r="E2884" s="54"/>
      <c r="F2884" s="2"/>
      <c r="G2884"/>
    </row>
    <row r="2885" spans="1:7" x14ac:dyDescent="0.25">
      <c r="A2885" s="40"/>
      <c r="E2885" s="54"/>
      <c r="F2885" s="2"/>
      <c r="G2885"/>
    </row>
    <row r="2886" spans="1:7" x14ac:dyDescent="0.25">
      <c r="A2886" s="40"/>
      <c r="E2886" s="54"/>
      <c r="F2886" s="2"/>
      <c r="G2886"/>
    </row>
    <row r="2887" spans="1:7" x14ac:dyDescent="0.25">
      <c r="A2887" s="40"/>
      <c r="E2887" s="54"/>
      <c r="F2887" s="2"/>
      <c r="G2887"/>
    </row>
    <row r="2888" spans="1:7" x14ac:dyDescent="0.25">
      <c r="A2888" s="39"/>
      <c r="E2888" s="54"/>
      <c r="F2888" s="2"/>
      <c r="G2888"/>
    </row>
    <row r="2889" spans="1:7" x14ac:dyDescent="0.25">
      <c r="E2889" s="54"/>
      <c r="F2889" s="2"/>
      <c r="G2889"/>
    </row>
    <row r="2890" spans="1:7" x14ac:dyDescent="0.25">
      <c r="G2890"/>
    </row>
    <row r="2891" spans="1:7" x14ac:dyDescent="0.25">
      <c r="G2891"/>
    </row>
    <row r="2892" spans="1:7" x14ac:dyDescent="0.25">
      <c r="G2892"/>
    </row>
    <row r="2893" spans="1:7" x14ac:dyDescent="0.25">
      <c r="G2893"/>
    </row>
    <row r="2894" spans="1:7" x14ac:dyDescent="0.25">
      <c r="G2894"/>
    </row>
    <row r="2895" spans="1:7" x14ac:dyDescent="0.25">
      <c r="G2895"/>
    </row>
    <row r="2896" spans="1:7" x14ac:dyDescent="0.25">
      <c r="A2896" s="45"/>
      <c r="F2896"/>
      <c r="G2896"/>
    </row>
    <row r="2897" spans="1:7" x14ac:dyDescent="0.25">
      <c r="A2897" s="45"/>
      <c r="F2897"/>
      <c r="G2897"/>
    </row>
    <row r="2898" spans="1:7" x14ac:dyDescent="0.25">
      <c r="A2898" s="45"/>
      <c r="F2898"/>
      <c r="G2898"/>
    </row>
    <row r="2899" spans="1:7" x14ac:dyDescent="0.25">
      <c r="A2899" s="45"/>
      <c r="F2899"/>
      <c r="G2899"/>
    </row>
    <row r="2900" spans="1:7" x14ac:dyDescent="0.25">
      <c r="A2900" s="45"/>
      <c r="F2900"/>
      <c r="G2900"/>
    </row>
    <row r="2901" spans="1:7" x14ac:dyDescent="0.25">
      <c r="A2901" s="39"/>
      <c r="E2901" s="54"/>
      <c r="F2901" s="2"/>
      <c r="G2901"/>
    </row>
    <row r="2902" spans="1:7" x14ac:dyDescent="0.25">
      <c r="A2902" s="39"/>
      <c r="E2902" s="54"/>
      <c r="F2902" s="2"/>
      <c r="G2902"/>
    </row>
    <row r="2903" spans="1:7" x14ac:dyDescent="0.25">
      <c r="A2903" s="39"/>
      <c r="E2903" s="54"/>
      <c r="F2903" s="2"/>
      <c r="G2903"/>
    </row>
    <row r="2904" spans="1:7" x14ac:dyDescent="0.25">
      <c r="A2904" s="42"/>
      <c r="E2904" s="54"/>
      <c r="F2904" s="2"/>
      <c r="G2904"/>
    </row>
    <row r="2905" spans="1:7" x14ac:dyDescent="0.25">
      <c r="A2905" s="42"/>
      <c r="E2905" s="54"/>
      <c r="F2905" s="2"/>
      <c r="G2905"/>
    </row>
    <row r="2906" spans="1:7" x14ac:dyDescent="0.25">
      <c r="A2906" s="40"/>
      <c r="E2906" s="54"/>
      <c r="F2906" s="2"/>
      <c r="G2906"/>
    </row>
    <row r="2907" spans="1:7" x14ac:dyDescent="0.25">
      <c r="A2907" s="40"/>
      <c r="E2907" s="54"/>
      <c r="F2907" s="2"/>
      <c r="G2907"/>
    </row>
    <row r="2908" spans="1:7" x14ac:dyDescent="0.25">
      <c r="A2908" s="39"/>
      <c r="E2908" s="54"/>
      <c r="G2908"/>
    </row>
    <row r="2909" spans="1:7" x14ac:dyDescent="0.25">
      <c r="A2909" s="39"/>
      <c r="E2909" s="54"/>
      <c r="F2909" s="2"/>
      <c r="G2909"/>
    </row>
    <row r="2910" spans="1:7" x14ac:dyDescent="0.25">
      <c r="A2910" s="39"/>
      <c r="E2910" s="54"/>
      <c r="F2910" s="2"/>
      <c r="G2910"/>
    </row>
    <row r="2911" spans="1:7" x14ac:dyDescent="0.25">
      <c r="A2911" s="39"/>
      <c r="E2911" s="54"/>
      <c r="F2911" s="2"/>
      <c r="G2911"/>
    </row>
    <row r="2912" spans="1:7" x14ac:dyDescent="0.25">
      <c r="A2912" s="39"/>
      <c r="E2912" s="54"/>
      <c r="F2912" s="2"/>
      <c r="G2912"/>
    </row>
    <row r="2913" spans="1:7" x14ac:dyDescent="0.25">
      <c r="A2913" s="39"/>
      <c r="E2913" s="54"/>
      <c r="F2913" s="2"/>
      <c r="G2913"/>
    </row>
    <row r="2914" spans="1:7" x14ac:dyDescent="0.25">
      <c r="A2914" s="39"/>
      <c r="E2914" s="54"/>
      <c r="F2914" s="2"/>
      <c r="G2914"/>
    </row>
    <row r="2915" spans="1:7" x14ac:dyDescent="0.25">
      <c r="A2915" s="39"/>
      <c r="E2915" s="54"/>
      <c r="F2915" s="2"/>
      <c r="G2915"/>
    </row>
    <row r="2916" spans="1:7" x14ac:dyDescent="0.25">
      <c r="A2916" s="40"/>
      <c r="E2916" s="54"/>
      <c r="F2916" s="2"/>
      <c r="G2916"/>
    </row>
    <row r="2917" spans="1:7" x14ac:dyDescent="0.25">
      <c r="A2917" s="39"/>
      <c r="E2917" s="54"/>
      <c r="F2917" s="2"/>
      <c r="G2917"/>
    </row>
    <row r="2918" spans="1:7" x14ac:dyDescent="0.25">
      <c r="A2918" s="39"/>
      <c r="E2918" s="54"/>
      <c r="F2918" s="2"/>
      <c r="G2918"/>
    </row>
    <row r="2919" spans="1:7" x14ac:dyDescent="0.25">
      <c r="A2919" s="39"/>
      <c r="E2919" s="54"/>
      <c r="F2919" s="2"/>
      <c r="G2919"/>
    </row>
    <row r="2920" spans="1:7" x14ac:dyDescent="0.25">
      <c r="A2920" s="39"/>
      <c r="E2920" s="54"/>
      <c r="F2920" s="2"/>
      <c r="G2920"/>
    </row>
    <row r="2921" spans="1:7" x14ac:dyDescent="0.25">
      <c r="A2921" s="39"/>
      <c r="E2921" s="54"/>
      <c r="F2921" s="2"/>
      <c r="G2921"/>
    </row>
    <row r="2922" spans="1:7" x14ac:dyDescent="0.25">
      <c r="A2922" s="39"/>
      <c r="E2922" s="54"/>
      <c r="F2922" s="2"/>
      <c r="G2922"/>
    </row>
    <row r="2923" spans="1:7" x14ac:dyDescent="0.25">
      <c r="A2923" s="48"/>
      <c r="E2923" s="54"/>
      <c r="F2923"/>
      <c r="G2923"/>
    </row>
    <row r="2924" spans="1:7" x14ac:dyDescent="0.25">
      <c r="A2924" s="48"/>
      <c r="E2924" s="54"/>
      <c r="F2924"/>
      <c r="G2924"/>
    </row>
    <row r="2925" spans="1:7" x14ac:dyDescent="0.25">
      <c r="A2925" s="48"/>
      <c r="E2925" s="54"/>
      <c r="F2925"/>
      <c r="G2925"/>
    </row>
    <row r="2926" spans="1:7" x14ac:dyDescent="0.25">
      <c r="A2926" s="48"/>
      <c r="E2926" s="54"/>
      <c r="F2926"/>
      <c r="G2926"/>
    </row>
    <row r="2927" spans="1:7" x14ac:dyDescent="0.25">
      <c r="A2927" s="48"/>
      <c r="E2927" s="54"/>
      <c r="F2927"/>
      <c r="G2927"/>
    </row>
    <row r="2928" spans="1:7" x14ac:dyDescent="0.25">
      <c r="A2928" s="48"/>
      <c r="E2928" s="54"/>
      <c r="F2928"/>
      <c r="G2928"/>
    </row>
    <row r="2929" spans="1:7" x14ac:dyDescent="0.25">
      <c r="A2929" s="48"/>
      <c r="E2929" s="54"/>
      <c r="F2929"/>
      <c r="G2929"/>
    </row>
    <row r="2930" spans="1:7" x14ac:dyDescent="0.25">
      <c r="A2930" s="48"/>
      <c r="E2930" s="54"/>
      <c r="F2930"/>
      <c r="G2930"/>
    </row>
    <row r="2931" spans="1:7" x14ac:dyDescent="0.25">
      <c r="A2931" s="48"/>
      <c r="E2931" s="54"/>
      <c r="F2931"/>
      <c r="G2931"/>
    </row>
    <row r="2932" spans="1:7" x14ac:dyDescent="0.25">
      <c r="A2932" s="48"/>
      <c r="E2932" s="54"/>
      <c r="F2932"/>
      <c r="G2932"/>
    </row>
    <row r="2933" spans="1:7" x14ac:dyDescent="0.25">
      <c r="A2933" s="48"/>
      <c r="E2933" s="54"/>
      <c r="F2933"/>
      <c r="G2933"/>
    </row>
    <row r="2934" spans="1:7" x14ac:dyDescent="0.25">
      <c r="A2934" s="48"/>
      <c r="E2934" s="54"/>
      <c r="F2934"/>
      <c r="G2934"/>
    </row>
    <row r="2935" spans="1:7" x14ac:dyDescent="0.25">
      <c r="A2935" s="48"/>
      <c r="E2935" s="54"/>
      <c r="F2935"/>
      <c r="G2935"/>
    </row>
    <row r="2936" spans="1:7" x14ac:dyDescent="0.25">
      <c r="A2936" s="48"/>
      <c r="E2936" s="54"/>
      <c r="F2936"/>
      <c r="G2936"/>
    </row>
    <row r="2937" spans="1:7" x14ac:dyDescent="0.25">
      <c r="E2937" s="54"/>
      <c r="G2937"/>
    </row>
    <row r="2938" spans="1:7" x14ac:dyDescent="0.25">
      <c r="A2938" s="48"/>
      <c r="E2938" s="54"/>
      <c r="F2938"/>
      <c r="G2938"/>
    </row>
    <row r="2939" spans="1:7" x14ac:dyDescent="0.25">
      <c r="E2939" s="54"/>
      <c r="G2939"/>
    </row>
    <row r="2940" spans="1:7" x14ac:dyDescent="0.25">
      <c r="E2940" s="54"/>
      <c r="G2940"/>
    </row>
    <row r="2941" spans="1:7" x14ac:dyDescent="0.25">
      <c r="E2941" s="54"/>
      <c r="G2941"/>
    </row>
    <row r="2942" spans="1:7" x14ac:dyDescent="0.25">
      <c r="A2942" s="48"/>
      <c r="E2942" s="54"/>
      <c r="F2942"/>
      <c r="G2942"/>
    </row>
    <row r="2943" spans="1:7" x14ac:dyDescent="0.25">
      <c r="E2943" s="54"/>
      <c r="G2943"/>
    </row>
    <row r="2944" spans="1:7" x14ac:dyDescent="0.25">
      <c r="A2944" s="40"/>
      <c r="E2944" s="54"/>
      <c r="G2944"/>
    </row>
    <row r="2945" spans="1:7" x14ac:dyDescent="0.25">
      <c r="A2945" s="48"/>
      <c r="E2945" s="54"/>
      <c r="F2945"/>
      <c r="G2945"/>
    </row>
    <row r="2946" spans="1:7" x14ac:dyDescent="0.25">
      <c r="A2946" s="48"/>
      <c r="E2946" s="54"/>
      <c r="F2946"/>
      <c r="G2946"/>
    </row>
    <row r="2947" spans="1:7" x14ac:dyDescent="0.25">
      <c r="A2947" s="48"/>
      <c r="E2947" s="54"/>
      <c r="F2947"/>
      <c r="G2947"/>
    </row>
    <row r="2948" spans="1:7" x14ac:dyDescent="0.25">
      <c r="E2948" s="54"/>
      <c r="G2948"/>
    </row>
    <row r="2949" spans="1:7" x14ac:dyDescent="0.25">
      <c r="E2949" s="54"/>
      <c r="G2949"/>
    </row>
    <row r="2950" spans="1:7" x14ac:dyDescent="0.25">
      <c r="E2950" s="54"/>
      <c r="G2950"/>
    </row>
    <row r="2951" spans="1:7" x14ac:dyDescent="0.25">
      <c r="A2951" s="48"/>
      <c r="E2951" s="54"/>
      <c r="F2951"/>
      <c r="G2951"/>
    </row>
    <row r="2952" spans="1:7" x14ac:dyDescent="0.25">
      <c r="A2952" s="48"/>
      <c r="E2952" s="54"/>
      <c r="F2952"/>
      <c r="G2952"/>
    </row>
    <row r="2953" spans="1:7" x14ac:dyDescent="0.25">
      <c r="A2953" s="48"/>
      <c r="E2953" s="54"/>
      <c r="F2953"/>
      <c r="G2953"/>
    </row>
    <row r="2954" spans="1:7" x14ac:dyDescent="0.25">
      <c r="A2954" s="48"/>
      <c r="E2954" s="54"/>
      <c r="F2954"/>
      <c r="G2954"/>
    </row>
    <row r="2955" spans="1:7" x14ac:dyDescent="0.25">
      <c r="E2955" s="54"/>
      <c r="G2955"/>
    </row>
    <row r="2956" spans="1:7" x14ac:dyDescent="0.25">
      <c r="E2956" s="54"/>
      <c r="G2956"/>
    </row>
    <row r="2957" spans="1:7" x14ac:dyDescent="0.25">
      <c r="A2957" s="39"/>
      <c r="E2957" s="54"/>
      <c r="G2957"/>
    </row>
    <row r="2958" spans="1:7" x14ac:dyDescent="0.25">
      <c r="A2958" s="39"/>
      <c r="E2958" s="54"/>
      <c r="G2958"/>
    </row>
    <row r="2959" spans="1:7" x14ac:dyDescent="0.25">
      <c r="A2959" s="39"/>
      <c r="E2959" s="54"/>
      <c r="G2959"/>
    </row>
    <row r="2960" spans="1:7" x14ac:dyDescent="0.25">
      <c r="A2960" s="39"/>
      <c r="E2960" s="54"/>
      <c r="G2960"/>
    </row>
    <row r="2961" spans="1:7" x14ac:dyDescent="0.25">
      <c r="A2961" s="39"/>
      <c r="E2961" s="54"/>
      <c r="G2961"/>
    </row>
    <row r="2962" spans="1:7" x14ac:dyDescent="0.25">
      <c r="A2962" s="39"/>
      <c r="E2962" s="54"/>
      <c r="G2962"/>
    </row>
    <row r="2963" spans="1:7" x14ac:dyDescent="0.25">
      <c r="A2963" s="39"/>
      <c r="E2963" s="54"/>
      <c r="G2963"/>
    </row>
    <row r="2964" spans="1:7" x14ac:dyDescent="0.25">
      <c r="A2964" s="39"/>
      <c r="E2964" s="54"/>
      <c r="G2964"/>
    </row>
    <row r="2965" spans="1:7" x14ac:dyDescent="0.25">
      <c r="A2965" s="39"/>
      <c r="E2965" s="54"/>
      <c r="G2965"/>
    </row>
    <row r="2966" spans="1:7" x14ac:dyDescent="0.25">
      <c r="A2966" s="39"/>
      <c r="E2966" s="54"/>
      <c r="G2966"/>
    </row>
    <row r="2967" spans="1:7" x14ac:dyDescent="0.25">
      <c r="A2967" s="40"/>
      <c r="E2967" s="54"/>
      <c r="G2967"/>
    </row>
    <row r="2968" spans="1:7" x14ac:dyDescent="0.25">
      <c r="A2968" s="40"/>
      <c r="E2968" s="54"/>
      <c r="G2968"/>
    </row>
    <row r="2969" spans="1:7" x14ac:dyDescent="0.25">
      <c r="A2969" s="40"/>
      <c r="E2969" s="54"/>
      <c r="G2969"/>
    </row>
    <row r="2970" spans="1:7" x14ac:dyDescent="0.25">
      <c r="A2970" s="40"/>
      <c r="E2970" s="54"/>
      <c r="G2970"/>
    </row>
    <row r="2971" spans="1:7" x14ac:dyDescent="0.25">
      <c r="A2971" s="40"/>
      <c r="E2971" s="54"/>
      <c r="G2971"/>
    </row>
    <row r="2972" spans="1:7" x14ac:dyDescent="0.25">
      <c r="A2972" s="40"/>
      <c r="E2972" s="54"/>
      <c r="G2972"/>
    </row>
    <row r="2973" spans="1:7" x14ac:dyDescent="0.25">
      <c r="A2973" s="40"/>
      <c r="E2973" s="54"/>
      <c r="G2973"/>
    </row>
    <row r="2974" spans="1:7" x14ac:dyDescent="0.25">
      <c r="A2974" s="39"/>
      <c r="E2974" s="54"/>
      <c r="G2974"/>
    </row>
    <row r="2975" spans="1:7" x14ac:dyDescent="0.25">
      <c r="A2975" s="39"/>
      <c r="E2975" s="54"/>
      <c r="G2975"/>
    </row>
    <row r="2976" spans="1:7" x14ac:dyDescent="0.25">
      <c r="A2976" s="39"/>
      <c r="E2976" s="54"/>
      <c r="G2976"/>
    </row>
    <row r="2977" spans="1:7" x14ac:dyDescent="0.25">
      <c r="A2977" s="39"/>
      <c r="E2977" s="54"/>
      <c r="G2977"/>
    </row>
    <row r="2978" spans="1:7" x14ac:dyDescent="0.25">
      <c r="A2978" s="39"/>
      <c r="E2978" s="54"/>
      <c r="G2978"/>
    </row>
    <row r="2979" spans="1:7" x14ac:dyDescent="0.25">
      <c r="A2979" s="39"/>
      <c r="E2979" s="54"/>
      <c r="G2979"/>
    </row>
    <row r="2980" spans="1:7" x14ac:dyDescent="0.25">
      <c r="A2980" s="39"/>
      <c r="E2980" s="54"/>
      <c r="G2980"/>
    </row>
    <row r="2981" spans="1:7" x14ac:dyDescent="0.25">
      <c r="A2981" s="39"/>
      <c r="E2981" s="54"/>
      <c r="G2981"/>
    </row>
    <row r="2982" spans="1:7" x14ac:dyDescent="0.25">
      <c r="A2982" s="39"/>
      <c r="E2982" s="54"/>
      <c r="G2982"/>
    </row>
    <row r="2983" spans="1:7" x14ac:dyDescent="0.25">
      <c r="A2983" s="39"/>
      <c r="E2983" s="54"/>
      <c r="G2983"/>
    </row>
    <row r="2984" spans="1:7" x14ac:dyDescent="0.25">
      <c r="A2984" s="39"/>
      <c r="E2984" s="54"/>
      <c r="G2984"/>
    </row>
    <row r="2985" spans="1:7" x14ac:dyDescent="0.25">
      <c r="A2985" s="39"/>
      <c r="E2985" s="54"/>
      <c r="G2985"/>
    </row>
    <row r="2986" spans="1:7" x14ac:dyDescent="0.25">
      <c r="A2986" s="39"/>
      <c r="E2986" s="54"/>
      <c r="G2986"/>
    </row>
    <row r="2987" spans="1:7" x14ac:dyDescent="0.25">
      <c r="A2987" s="39"/>
      <c r="E2987" s="54"/>
      <c r="G2987"/>
    </row>
    <row r="2988" spans="1:7" x14ac:dyDescent="0.25">
      <c r="A2988" s="39"/>
      <c r="E2988" s="54"/>
      <c r="G2988"/>
    </row>
    <row r="2989" spans="1:7" x14ac:dyDescent="0.25">
      <c r="E2989" s="54"/>
      <c r="G2989"/>
    </row>
    <row r="2990" spans="1:7" x14ac:dyDescent="0.25">
      <c r="E2990" s="54"/>
      <c r="G2990"/>
    </row>
    <row r="2991" spans="1:7" x14ac:dyDescent="0.25">
      <c r="E2991" s="54"/>
      <c r="G2991"/>
    </row>
    <row r="2992" spans="1:7" x14ac:dyDescent="0.25">
      <c r="A2992" s="48"/>
      <c r="E2992" s="54"/>
      <c r="F2992"/>
      <c r="G2992"/>
    </row>
    <row r="2993" spans="1:7" x14ac:dyDescent="0.25">
      <c r="A2993" s="48"/>
      <c r="E2993" s="54"/>
      <c r="F2993"/>
      <c r="G2993"/>
    </row>
    <row r="2994" spans="1:7" x14ac:dyDescent="0.25">
      <c r="A2994" s="48"/>
      <c r="E2994" s="54"/>
      <c r="F2994"/>
      <c r="G2994"/>
    </row>
    <row r="2995" spans="1:7" x14ac:dyDescent="0.25">
      <c r="A2995" s="48"/>
      <c r="E2995" s="54"/>
      <c r="F2995"/>
      <c r="G2995"/>
    </row>
    <row r="2996" spans="1:7" x14ac:dyDescent="0.25">
      <c r="A2996" s="48"/>
      <c r="E2996" s="54"/>
      <c r="F2996"/>
      <c r="G2996"/>
    </row>
    <row r="2997" spans="1:7" x14ac:dyDescent="0.25">
      <c r="A2997" s="48"/>
      <c r="E2997" s="54"/>
      <c r="F2997"/>
      <c r="G2997"/>
    </row>
    <row r="2998" spans="1:7" x14ac:dyDescent="0.25">
      <c r="A2998" s="48"/>
      <c r="E2998" s="54"/>
      <c r="F2998"/>
      <c r="G2998"/>
    </row>
    <row r="2999" spans="1:7" x14ac:dyDescent="0.25">
      <c r="A2999" s="48"/>
      <c r="E2999" s="54"/>
      <c r="F2999"/>
      <c r="G2999"/>
    </row>
    <row r="3000" spans="1:7" x14ac:dyDescent="0.25">
      <c r="A3000" s="48"/>
      <c r="E3000" s="54"/>
      <c r="F3000"/>
      <c r="G3000"/>
    </row>
    <row r="3001" spans="1:7" x14ac:dyDescent="0.25">
      <c r="A3001" s="48"/>
      <c r="E3001" s="54"/>
      <c r="F3001"/>
      <c r="G3001"/>
    </row>
    <row r="3002" spans="1:7" x14ac:dyDescent="0.25">
      <c r="A3002" s="48"/>
      <c r="E3002" s="54"/>
      <c r="F3002"/>
      <c r="G3002"/>
    </row>
    <row r="3003" spans="1:7" x14ac:dyDescent="0.25">
      <c r="A3003" s="48"/>
      <c r="E3003" s="54"/>
      <c r="F3003"/>
      <c r="G3003"/>
    </row>
    <row r="3004" spans="1:7" x14ac:dyDescent="0.25">
      <c r="A3004" s="48"/>
      <c r="E3004" s="54"/>
      <c r="F3004"/>
      <c r="G3004"/>
    </row>
    <row r="3005" spans="1:7" x14ac:dyDescent="0.25">
      <c r="E3005" s="54"/>
      <c r="G3005"/>
    </row>
    <row r="3006" spans="1:7" x14ac:dyDescent="0.25">
      <c r="E3006" s="54"/>
      <c r="G3006"/>
    </row>
    <row r="3007" spans="1:7" x14ac:dyDescent="0.25">
      <c r="A3007" s="48"/>
      <c r="E3007" s="54"/>
      <c r="F3007"/>
      <c r="G3007"/>
    </row>
    <row r="3008" spans="1:7" x14ac:dyDescent="0.25">
      <c r="A3008" s="48"/>
      <c r="E3008" s="54"/>
      <c r="F3008"/>
      <c r="G3008"/>
    </row>
    <row r="3009" spans="1:7" x14ac:dyDescent="0.25">
      <c r="A3009" s="48"/>
      <c r="E3009" s="54"/>
      <c r="F3009"/>
      <c r="G3009"/>
    </row>
    <row r="3010" spans="1:7" x14ac:dyDescent="0.25">
      <c r="A3010" s="48"/>
      <c r="E3010" s="54"/>
      <c r="F3010"/>
      <c r="G3010"/>
    </row>
    <row r="3011" spans="1:7" x14ac:dyDescent="0.25">
      <c r="A3011" s="48"/>
      <c r="E3011" s="54"/>
      <c r="F3011"/>
      <c r="G3011"/>
    </row>
    <row r="3012" spans="1:7" x14ac:dyDescent="0.25">
      <c r="A3012" s="48"/>
      <c r="E3012" s="54"/>
      <c r="F3012"/>
      <c r="G3012"/>
    </row>
    <row r="3013" spans="1:7" x14ac:dyDescent="0.25">
      <c r="A3013" s="48"/>
      <c r="E3013" s="54"/>
      <c r="F3013"/>
      <c r="G3013"/>
    </row>
    <row r="3014" spans="1:7" x14ac:dyDescent="0.25">
      <c r="A3014" s="48"/>
      <c r="E3014" s="54"/>
      <c r="F3014"/>
      <c r="G3014"/>
    </row>
    <row r="3015" spans="1:7" x14ac:dyDescent="0.25">
      <c r="A3015" s="48"/>
      <c r="E3015" s="54"/>
      <c r="F3015"/>
      <c r="G3015"/>
    </row>
    <row r="3016" spans="1:7" x14ac:dyDescent="0.25">
      <c r="A3016" s="48"/>
      <c r="E3016" s="54"/>
      <c r="F3016"/>
      <c r="G3016"/>
    </row>
    <row r="3017" spans="1:7" x14ac:dyDescent="0.25">
      <c r="A3017" s="48"/>
      <c r="E3017" s="54"/>
      <c r="F3017"/>
      <c r="G3017"/>
    </row>
    <row r="3018" spans="1:7" x14ac:dyDescent="0.25">
      <c r="A3018" s="48"/>
      <c r="E3018" s="54"/>
      <c r="F3018"/>
      <c r="G3018"/>
    </row>
    <row r="3019" spans="1:7" x14ac:dyDescent="0.25">
      <c r="A3019" s="48"/>
      <c r="E3019" s="54"/>
      <c r="F3019"/>
      <c r="G3019"/>
    </row>
    <row r="3020" spans="1:7" x14ac:dyDescent="0.25">
      <c r="A3020" s="48"/>
      <c r="E3020" s="54"/>
      <c r="F3020"/>
      <c r="G3020"/>
    </row>
    <row r="3021" spans="1:7" x14ac:dyDescent="0.25">
      <c r="A3021" s="48"/>
      <c r="E3021" s="54"/>
      <c r="F3021"/>
      <c r="G3021"/>
    </row>
    <row r="3022" spans="1:7" x14ac:dyDescent="0.25">
      <c r="A3022" s="48"/>
      <c r="E3022" s="54"/>
      <c r="F3022"/>
      <c r="G3022"/>
    </row>
    <row r="3023" spans="1:7" x14ac:dyDescent="0.25">
      <c r="A3023" s="48"/>
      <c r="E3023" s="54"/>
      <c r="F3023"/>
      <c r="G3023"/>
    </row>
    <row r="3024" spans="1:7" x14ac:dyDescent="0.25">
      <c r="A3024" s="48"/>
      <c r="E3024" s="54"/>
      <c r="F3024"/>
      <c r="G3024"/>
    </row>
    <row r="3025" spans="1:7" x14ac:dyDescent="0.25">
      <c r="A3025" s="48"/>
      <c r="E3025" s="54"/>
      <c r="F3025"/>
      <c r="G3025"/>
    </row>
    <row r="3026" spans="1:7" x14ac:dyDescent="0.25">
      <c r="A3026" s="48"/>
      <c r="E3026" s="54"/>
      <c r="F3026"/>
      <c r="G3026"/>
    </row>
    <row r="3027" spans="1:7" x14ac:dyDescent="0.25">
      <c r="A3027" s="48"/>
      <c r="E3027" s="54"/>
      <c r="F3027"/>
      <c r="G3027"/>
    </row>
    <row r="3028" spans="1:7" x14ac:dyDescent="0.25">
      <c r="A3028" s="48"/>
      <c r="E3028" s="54"/>
      <c r="F3028"/>
      <c r="G3028"/>
    </row>
    <row r="3029" spans="1:7" x14ac:dyDescent="0.25">
      <c r="A3029" s="48"/>
      <c r="E3029" s="54"/>
      <c r="F3029"/>
      <c r="G3029"/>
    </row>
    <row r="3030" spans="1:7" x14ac:dyDescent="0.25">
      <c r="A3030" s="48"/>
      <c r="E3030" s="54"/>
      <c r="F3030"/>
      <c r="G3030"/>
    </row>
    <row r="3031" spans="1:7" x14ac:dyDescent="0.25">
      <c r="A3031" s="48"/>
      <c r="E3031" s="54"/>
      <c r="F3031"/>
      <c r="G3031"/>
    </row>
    <row r="3032" spans="1:7" x14ac:dyDescent="0.25">
      <c r="A3032" s="48"/>
      <c r="E3032" s="54"/>
      <c r="F3032"/>
      <c r="G3032"/>
    </row>
    <row r="3033" spans="1:7" x14ac:dyDescent="0.25">
      <c r="A3033" s="48"/>
      <c r="E3033" s="54"/>
      <c r="F3033"/>
      <c r="G3033"/>
    </row>
    <row r="3034" spans="1:7" x14ac:dyDescent="0.25">
      <c r="A3034" s="48"/>
      <c r="E3034" s="54"/>
      <c r="F3034"/>
      <c r="G3034"/>
    </row>
    <row r="3035" spans="1:7" x14ac:dyDescent="0.25">
      <c r="A3035" s="48"/>
      <c r="E3035" s="54"/>
      <c r="F3035"/>
      <c r="G3035"/>
    </row>
    <row r="3036" spans="1:7" x14ac:dyDescent="0.25">
      <c r="A3036" s="39"/>
      <c r="E3036" s="54"/>
      <c r="F3036" s="2"/>
      <c r="G3036"/>
    </row>
    <row r="3037" spans="1:7" x14ac:dyDescent="0.25">
      <c r="A3037" s="39"/>
      <c r="E3037" s="54"/>
      <c r="F3037" s="2"/>
      <c r="G3037"/>
    </row>
    <row r="3038" spans="1:7" x14ac:dyDescent="0.25">
      <c r="A3038" s="48"/>
      <c r="E3038" s="54"/>
      <c r="F3038"/>
      <c r="G3038"/>
    </row>
    <row r="3039" spans="1:7" x14ac:dyDescent="0.25">
      <c r="A3039" s="48"/>
      <c r="E3039" s="54"/>
      <c r="F3039"/>
      <c r="G3039"/>
    </row>
    <row r="3040" spans="1:7" x14ac:dyDescent="0.25">
      <c r="A3040" s="40"/>
      <c r="E3040" s="54"/>
      <c r="G3040"/>
    </row>
    <row r="3041" spans="1:7" x14ac:dyDescent="0.25">
      <c r="A3041" s="40"/>
      <c r="E3041" s="54"/>
      <c r="G3041"/>
    </row>
    <row r="3042" spans="1:7" x14ac:dyDescent="0.25">
      <c r="E3042" s="54"/>
      <c r="G3042"/>
    </row>
    <row r="3043" spans="1:7" x14ac:dyDescent="0.25">
      <c r="E3043" s="54"/>
      <c r="G3043"/>
    </row>
    <row r="3044" spans="1:7" x14ac:dyDescent="0.25">
      <c r="E3044" s="54"/>
      <c r="G3044"/>
    </row>
    <row r="3045" spans="1:7" x14ac:dyDescent="0.25">
      <c r="E3045" s="54"/>
      <c r="G3045"/>
    </row>
    <row r="3046" spans="1:7" x14ac:dyDescent="0.25">
      <c r="E3046" s="54"/>
      <c r="G3046"/>
    </row>
    <row r="3047" spans="1:7" x14ac:dyDescent="0.25">
      <c r="E3047" s="54"/>
      <c r="G3047"/>
    </row>
    <row r="3048" spans="1:7" x14ac:dyDescent="0.25">
      <c r="E3048" s="54"/>
      <c r="G3048"/>
    </row>
    <row r="3049" spans="1:7" x14ac:dyDescent="0.25">
      <c r="E3049" s="54"/>
      <c r="G3049"/>
    </row>
    <row r="3050" spans="1:7" x14ac:dyDescent="0.25">
      <c r="E3050" s="54"/>
      <c r="G3050"/>
    </row>
    <row r="3051" spans="1:7" x14ac:dyDescent="0.25">
      <c r="E3051" s="54"/>
      <c r="G3051"/>
    </row>
    <row r="3052" spans="1:7" x14ac:dyDescent="0.25">
      <c r="E3052" s="54"/>
      <c r="G3052"/>
    </row>
    <row r="3053" spans="1:7" x14ac:dyDescent="0.25">
      <c r="E3053" s="54"/>
      <c r="G3053"/>
    </row>
    <row r="3054" spans="1:7" x14ac:dyDescent="0.25">
      <c r="A3054" s="39"/>
      <c r="E3054" s="54"/>
      <c r="F3054" s="2"/>
      <c r="G3054"/>
    </row>
    <row r="3055" spans="1:7" x14ac:dyDescent="0.25">
      <c r="A3055" s="39"/>
      <c r="E3055" s="54"/>
      <c r="F3055" s="2"/>
      <c r="G3055"/>
    </row>
    <row r="3056" spans="1:7" x14ac:dyDescent="0.25">
      <c r="A3056" s="39"/>
      <c r="E3056" s="54"/>
      <c r="F3056" s="2"/>
      <c r="G3056"/>
    </row>
    <row r="3057" spans="1:7" x14ac:dyDescent="0.25">
      <c r="A3057" s="39"/>
      <c r="E3057" s="54"/>
      <c r="F3057" s="2"/>
      <c r="G3057"/>
    </row>
    <row r="3058" spans="1:7" x14ac:dyDescent="0.25">
      <c r="A3058" s="39"/>
      <c r="E3058" s="54"/>
      <c r="F3058" s="2"/>
      <c r="G3058"/>
    </row>
    <row r="3059" spans="1:7" x14ac:dyDescent="0.25">
      <c r="A3059" s="39"/>
      <c r="E3059" s="54"/>
      <c r="F3059" s="2"/>
      <c r="G3059"/>
    </row>
    <row r="3060" spans="1:7" x14ac:dyDescent="0.25">
      <c r="A3060" s="39"/>
      <c r="E3060" s="54"/>
      <c r="F3060" s="2"/>
      <c r="G3060"/>
    </row>
    <row r="3061" spans="1:7" x14ac:dyDescent="0.25">
      <c r="A3061" s="45"/>
      <c r="E3061" s="54"/>
      <c r="F3061"/>
      <c r="G3061"/>
    </row>
    <row r="3062" spans="1:7" x14ac:dyDescent="0.25">
      <c r="A3062" s="45"/>
      <c r="E3062" s="54"/>
      <c r="F3062"/>
      <c r="G3062"/>
    </row>
    <row r="3063" spans="1:7" x14ac:dyDescent="0.25">
      <c r="A3063" s="45"/>
      <c r="E3063" s="54"/>
      <c r="F3063"/>
      <c r="G3063"/>
    </row>
    <row r="3064" spans="1:7" x14ac:dyDescent="0.25">
      <c r="A3064" s="45"/>
      <c r="E3064" s="54"/>
      <c r="F3064"/>
      <c r="G3064"/>
    </row>
    <row r="3065" spans="1:7" x14ac:dyDescent="0.25">
      <c r="A3065" s="45"/>
      <c r="E3065" s="54"/>
      <c r="F3065"/>
      <c r="G3065"/>
    </row>
    <row r="3066" spans="1:7" x14ac:dyDescent="0.25">
      <c r="A3066" s="45"/>
      <c r="E3066" s="54"/>
      <c r="F3066"/>
      <c r="G3066"/>
    </row>
    <row r="3067" spans="1:7" x14ac:dyDescent="0.25">
      <c r="A3067" s="45"/>
      <c r="E3067" s="54"/>
      <c r="F3067"/>
      <c r="G3067"/>
    </row>
    <row r="3068" spans="1:7" x14ac:dyDescent="0.25">
      <c r="A3068" s="39"/>
      <c r="E3068" s="54"/>
      <c r="F3068" s="2"/>
      <c r="G3068"/>
    </row>
    <row r="3069" spans="1:7" x14ac:dyDescent="0.25">
      <c r="A3069" s="45"/>
      <c r="E3069" s="54"/>
      <c r="F3069"/>
      <c r="G3069"/>
    </row>
    <row r="3070" spans="1:7" x14ac:dyDescent="0.25">
      <c r="A3070" s="39"/>
      <c r="E3070" s="54"/>
      <c r="F3070" s="2"/>
      <c r="G3070"/>
    </row>
    <row r="3071" spans="1:7" x14ac:dyDescent="0.25">
      <c r="A3071" s="40"/>
      <c r="E3071" s="54"/>
      <c r="F3071" s="2"/>
      <c r="G3071"/>
    </row>
    <row r="3072" spans="1:7" x14ac:dyDescent="0.25">
      <c r="A3072" s="40"/>
      <c r="E3072" s="54"/>
      <c r="F3072" s="2"/>
      <c r="G3072"/>
    </row>
    <row r="3073" spans="1:7" x14ac:dyDescent="0.25">
      <c r="A3073" s="39"/>
      <c r="E3073" s="54"/>
      <c r="G3073"/>
    </row>
    <row r="3074" spans="1:7" x14ac:dyDescent="0.25">
      <c r="A3074" s="40"/>
      <c r="E3074" s="54"/>
      <c r="F3074" s="2"/>
      <c r="G3074"/>
    </row>
    <row r="3075" spans="1:7" x14ac:dyDescent="0.25">
      <c r="A3075" s="40"/>
      <c r="E3075" s="54"/>
      <c r="F3075" s="2"/>
      <c r="G3075"/>
    </row>
    <row r="3076" spans="1:7" x14ac:dyDescent="0.25">
      <c r="A3076" s="40"/>
      <c r="E3076" s="54"/>
      <c r="F3076" s="2"/>
      <c r="G3076"/>
    </row>
    <row r="3077" spans="1:7" x14ac:dyDescent="0.25">
      <c r="A3077" s="40"/>
      <c r="E3077" s="54"/>
      <c r="F3077" s="2"/>
      <c r="G3077"/>
    </row>
    <row r="3078" spans="1:7" x14ac:dyDescent="0.25">
      <c r="A3078" s="40"/>
      <c r="E3078" s="54"/>
      <c r="F3078" s="2"/>
      <c r="G3078"/>
    </row>
    <row r="3079" spans="1:7" x14ac:dyDescent="0.25">
      <c r="A3079" s="40"/>
      <c r="E3079" s="54"/>
      <c r="F3079" s="2"/>
      <c r="G3079"/>
    </row>
    <row r="3080" spans="1:7" x14ac:dyDescent="0.25">
      <c r="A3080" s="40"/>
      <c r="E3080" s="54"/>
      <c r="F3080" s="2"/>
      <c r="G3080"/>
    </row>
    <row r="3081" spans="1:7" x14ac:dyDescent="0.25">
      <c r="A3081" s="40"/>
      <c r="E3081" s="54"/>
      <c r="F3081" s="2"/>
      <c r="G3081"/>
    </row>
    <row r="3082" spans="1:7" x14ac:dyDescent="0.25">
      <c r="A3082" s="40"/>
      <c r="E3082" s="54"/>
      <c r="F3082" s="2"/>
      <c r="G3082"/>
    </row>
    <row r="3083" spans="1:7" x14ac:dyDescent="0.25">
      <c r="A3083" s="40"/>
      <c r="E3083" s="54"/>
      <c r="F3083" s="2"/>
      <c r="G3083"/>
    </row>
    <row r="3084" spans="1:7" x14ac:dyDescent="0.25">
      <c r="A3084" s="40"/>
      <c r="E3084" s="54"/>
      <c r="F3084" s="2"/>
      <c r="G3084"/>
    </row>
    <row r="3085" spans="1:7" x14ac:dyDescent="0.25">
      <c r="A3085" s="40"/>
      <c r="E3085" s="54"/>
      <c r="F3085" s="2"/>
      <c r="G3085"/>
    </row>
    <row r="3086" spans="1:7" x14ac:dyDescent="0.25">
      <c r="A3086" s="40"/>
      <c r="E3086" s="54"/>
      <c r="F3086" s="2"/>
      <c r="G3086"/>
    </row>
    <row r="3087" spans="1:7" x14ac:dyDescent="0.25">
      <c r="A3087" s="40"/>
      <c r="E3087" s="54"/>
      <c r="F3087" s="2"/>
      <c r="G3087"/>
    </row>
    <row r="3088" spans="1:7" x14ac:dyDescent="0.25">
      <c r="A3088" s="40"/>
      <c r="E3088" s="54"/>
      <c r="F3088" s="2"/>
      <c r="G3088"/>
    </row>
    <row r="3089" spans="1:7" x14ac:dyDescent="0.25">
      <c r="A3089" s="40"/>
      <c r="E3089" s="54"/>
      <c r="F3089" s="2"/>
      <c r="G3089"/>
    </row>
    <row r="3090" spans="1:7" x14ac:dyDescent="0.25">
      <c r="A3090" s="40"/>
      <c r="E3090" s="54"/>
      <c r="F3090" s="2"/>
      <c r="G3090"/>
    </row>
    <row r="3091" spans="1:7" x14ac:dyDescent="0.25">
      <c r="A3091" s="40"/>
      <c r="E3091" s="54"/>
      <c r="F3091" s="2"/>
      <c r="G3091"/>
    </row>
    <row r="3092" spans="1:7" x14ac:dyDescent="0.25">
      <c r="A3092" s="40"/>
      <c r="E3092" s="54"/>
      <c r="F3092" s="2"/>
      <c r="G3092"/>
    </row>
    <row r="3093" spans="1:7" x14ac:dyDescent="0.25">
      <c r="A3093" s="40"/>
      <c r="E3093" s="54"/>
      <c r="F3093" s="2"/>
      <c r="G3093"/>
    </row>
    <row r="3094" spans="1:7" x14ac:dyDescent="0.25">
      <c r="A3094" s="40"/>
      <c r="E3094" s="54"/>
      <c r="F3094" s="2"/>
      <c r="G3094"/>
    </row>
    <row r="3095" spans="1:7" x14ac:dyDescent="0.25">
      <c r="A3095" s="40"/>
      <c r="E3095" s="54"/>
      <c r="F3095" s="2"/>
      <c r="G3095"/>
    </row>
    <row r="3096" spans="1:7" x14ac:dyDescent="0.25">
      <c r="A3096" s="40"/>
      <c r="E3096" s="54"/>
      <c r="F3096" s="2"/>
      <c r="G3096"/>
    </row>
    <row r="3097" spans="1:7" x14ac:dyDescent="0.25">
      <c r="A3097" s="40"/>
      <c r="E3097" s="54"/>
      <c r="F3097" s="2"/>
      <c r="G3097"/>
    </row>
    <row r="3098" spans="1:7" x14ac:dyDescent="0.25">
      <c r="A3098" s="40"/>
      <c r="E3098" s="54"/>
      <c r="F3098" s="2"/>
      <c r="G3098"/>
    </row>
    <row r="3099" spans="1:7" x14ac:dyDescent="0.25">
      <c r="A3099" s="40"/>
      <c r="E3099" s="54"/>
      <c r="F3099" s="2"/>
      <c r="G3099"/>
    </row>
    <row r="3100" spans="1:7" x14ac:dyDescent="0.25">
      <c r="A3100" s="40"/>
      <c r="E3100" s="54"/>
      <c r="F3100" s="2"/>
      <c r="G3100"/>
    </row>
    <row r="3101" spans="1:7" x14ac:dyDescent="0.25">
      <c r="A3101" s="40"/>
      <c r="E3101" s="54"/>
      <c r="F3101" s="2"/>
      <c r="G3101"/>
    </row>
    <row r="3102" spans="1:7" x14ac:dyDescent="0.25">
      <c r="A3102" s="40"/>
      <c r="E3102" s="54"/>
      <c r="F3102" s="2"/>
      <c r="G3102"/>
    </row>
    <row r="3103" spans="1:7" x14ac:dyDescent="0.25">
      <c r="A3103" s="40"/>
      <c r="E3103" s="54"/>
      <c r="F3103" s="2"/>
      <c r="G3103"/>
    </row>
    <row r="3104" spans="1:7" x14ac:dyDescent="0.25">
      <c r="A3104" s="40"/>
      <c r="E3104" s="54"/>
      <c r="F3104" s="2"/>
      <c r="G3104"/>
    </row>
    <row r="3105" spans="1:7" x14ac:dyDescent="0.25">
      <c r="A3105" s="40"/>
      <c r="E3105" s="54"/>
      <c r="F3105" s="2"/>
      <c r="G3105"/>
    </row>
    <row r="3106" spans="1:7" x14ac:dyDescent="0.25">
      <c r="A3106" s="40"/>
      <c r="E3106" s="54"/>
      <c r="F3106" s="2"/>
      <c r="G3106"/>
    </row>
    <row r="3107" spans="1:7" x14ac:dyDescent="0.25">
      <c r="A3107" s="40"/>
      <c r="E3107" s="54"/>
      <c r="F3107" s="2"/>
      <c r="G3107"/>
    </row>
    <row r="3108" spans="1:7" x14ac:dyDescent="0.25">
      <c r="A3108" s="40"/>
      <c r="E3108" s="54"/>
      <c r="F3108" s="2"/>
    </row>
    <row r="3109" spans="1:7" x14ac:dyDescent="0.25">
      <c r="A3109" s="40"/>
      <c r="E3109" s="54"/>
      <c r="F3109" s="2"/>
    </row>
    <row r="3110" spans="1:7" x14ac:dyDescent="0.25">
      <c r="A3110" s="40"/>
      <c r="E3110" s="54"/>
      <c r="F3110" s="2"/>
    </row>
    <row r="3111" spans="1:7" x14ac:dyDescent="0.25">
      <c r="A3111" s="40"/>
      <c r="E3111" s="54"/>
      <c r="F3111" s="2"/>
    </row>
    <row r="3112" spans="1:7" x14ac:dyDescent="0.25">
      <c r="A3112" s="40"/>
      <c r="E3112" s="54"/>
      <c r="F3112" s="2"/>
    </row>
    <row r="3113" spans="1:7" x14ac:dyDescent="0.25">
      <c r="A3113" s="40"/>
      <c r="E3113" s="54"/>
      <c r="F3113" s="2"/>
    </row>
    <row r="3114" spans="1:7" x14ac:dyDescent="0.25">
      <c r="A3114" s="40"/>
      <c r="E3114" s="54"/>
      <c r="F3114" s="2"/>
    </row>
    <row r="3115" spans="1:7" x14ac:dyDescent="0.25">
      <c r="A3115" s="40"/>
      <c r="E3115" s="54"/>
      <c r="F3115" s="2"/>
    </row>
    <row r="3116" spans="1:7" x14ac:dyDescent="0.25">
      <c r="A3116" s="40"/>
      <c r="E3116" s="54"/>
      <c r="F3116" s="2"/>
    </row>
    <row r="3117" spans="1:7" x14ac:dyDescent="0.25">
      <c r="A3117" s="40"/>
      <c r="E3117" s="54"/>
      <c r="F3117" s="2"/>
    </row>
    <row r="3118" spans="1:7" x14ac:dyDescent="0.25">
      <c r="A3118" s="40"/>
      <c r="E3118" s="54"/>
      <c r="F3118" s="2"/>
    </row>
    <row r="3119" spans="1:7" x14ac:dyDescent="0.25">
      <c r="A3119" s="40"/>
      <c r="E3119" s="54"/>
      <c r="F3119" s="2"/>
    </row>
    <row r="3120" spans="1:7" x14ac:dyDescent="0.25">
      <c r="A3120" s="40"/>
      <c r="E3120" s="54"/>
      <c r="F3120" s="2"/>
    </row>
    <row r="3121" spans="1:6" x14ac:dyDescent="0.25">
      <c r="A3121" s="40"/>
      <c r="E3121" s="54"/>
      <c r="F3121" s="2"/>
    </row>
    <row r="3122" spans="1:6" x14ac:dyDescent="0.25">
      <c r="A3122" s="40"/>
      <c r="E3122" s="54"/>
      <c r="F3122" s="2"/>
    </row>
    <row r="3123" spans="1:6" x14ac:dyDescent="0.25">
      <c r="A3123" s="40"/>
      <c r="E3123" s="54"/>
      <c r="F3123" s="2"/>
    </row>
    <row r="3124" spans="1:6" x14ac:dyDescent="0.25">
      <c r="A3124" s="40"/>
      <c r="E3124" s="54"/>
      <c r="F3124" s="2"/>
    </row>
    <row r="3125" spans="1:6" x14ac:dyDescent="0.25">
      <c r="A3125" s="40"/>
      <c r="E3125" s="54"/>
      <c r="F3125" s="2"/>
    </row>
    <row r="3126" spans="1:6" x14ac:dyDescent="0.25">
      <c r="A3126" s="40"/>
      <c r="E3126" s="54"/>
      <c r="F3126" s="2"/>
    </row>
    <row r="3127" spans="1:6" x14ac:dyDescent="0.25">
      <c r="A3127" s="40"/>
      <c r="E3127" s="54"/>
      <c r="F3127" s="2"/>
    </row>
    <row r="3128" spans="1:6" x14ac:dyDescent="0.25">
      <c r="A3128" s="40"/>
      <c r="E3128" s="54"/>
      <c r="F3128" s="2"/>
    </row>
    <row r="3129" spans="1:6" x14ac:dyDescent="0.25">
      <c r="A3129" s="40"/>
      <c r="E3129" s="54"/>
      <c r="F3129" s="2"/>
    </row>
    <row r="3130" spans="1:6" x14ac:dyDescent="0.25">
      <c r="A3130" s="40"/>
      <c r="E3130" s="54"/>
      <c r="F3130" s="2"/>
    </row>
    <row r="3131" spans="1:6" x14ac:dyDescent="0.25">
      <c r="A3131" s="40"/>
      <c r="E3131" s="54"/>
      <c r="F3131" s="2"/>
    </row>
    <row r="3132" spans="1:6" x14ac:dyDescent="0.25">
      <c r="A3132" s="40"/>
      <c r="E3132" s="54"/>
      <c r="F3132" s="2"/>
    </row>
    <row r="3133" spans="1:6" x14ac:dyDescent="0.25">
      <c r="A3133" s="40"/>
      <c r="E3133" s="54"/>
      <c r="F3133" s="2"/>
    </row>
    <row r="3134" spans="1:6" x14ac:dyDescent="0.25">
      <c r="A3134" s="40"/>
      <c r="E3134" s="54"/>
      <c r="F3134" s="2"/>
    </row>
    <row r="3135" spans="1:6" x14ac:dyDescent="0.25">
      <c r="A3135" s="40"/>
      <c r="E3135" s="54"/>
      <c r="F3135" s="2"/>
    </row>
    <row r="3136" spans="1:6" x14ac:dyDescent="0.25">
      <c r="A3136" s="40"/>
      <c r="E3136" s="54"/>
      <c r="F3136" s="2"/>
    </row>
    <row r="3137" spans="1:6" x14ac:dyDescent="0.25">
      <c r="A3137" s="40"/>
      <c r="E3137" s="54"/>
      <c r="F3137" s="2"/>
    </row>
    <row r="3138" spans="1:6" x14ac:dyDescent="0.25">
      <c r="A3138" s="40"/>
      <c r="E3138" s="54"/>
      <c r="F3138" s="2"/>
    </row>
    <row r="3139" spans="1:6" x14ac:dyDescent="0.25">
      <c r="A3139" s="40"/>
      <c r="E3139" s="54"/>
      <c r="F3139" s="2"/>
    </row>
    <row r="3140" spans="1:6" x14ac:dyDescent="0.25">
      <c r="A3140" s="40"/>
      <c r="E3140" s="54"/>
      <c r="F3140" s="2"/>
    </row>
    <row r="3141" spans="1:6" x14ac:dyDescent="0.25">
      <c r="A3141" s="40"/>
      <c r="E3141" s="54"/>
      <c r="F3141" s="2"/>
    </row>
    <row r="3142" spans="1:6" x14ac:dyDescent="0.25">
      <c r="A3142" s="40"/>
      <c r="E3142" s="54"/>
      <c r="F3142" s="2"/>
    </row>
    <row r="3143" spans="1:6" x14ac:dyDescent="0.25">
      <c r="A3143" s="40"/>
      <c r="E3143" s="54"/>
      <c r="F3143" s="2"/>
    </row>
    <row r="3144" spans="1:6" x14ac:dyDescent="0.25">
      <c r="A3144" s="40"/>
      <c r="E3144" s="54"/>
      <c r="F3144" s="2"/>
    </row>
    <row r="3145" spans="1:6" x14ac:dyDescent="0.25">
      <c r="A3145" s="40"/>
      <c r="E3145" s="54"/>
      <c r="F3145" s="2"/>
    </row>
    <row r="3146" spans="1:6" x14ac:dyDescent="0.25">
      <c r="A3146" s="40"/>
      <c r="E3146" s="54"/>
      <c r="F3146" s="2"/>
    </row>
    <row r="3147" spans="1:6" x14ac:dyDescent="0.25">
      <c r="A3147" s="40"/>
      <c r="E3147" s="54"/>
      <c r="F3147" s="2"/>
    </row>
    <row r="3148" spans="1:6" x14ac:dyDescent="0.25">
      <c r="A3148" s="40"/>
      <c r="E3148" s="54"/>
      <c r="F3148" s="2"/>
    </row>
    <row r="3149" spans="1:6" x14ac:dyDescent="0.25">
      <c r="A3149" s="40"/>
      <c r="E3149" s="54"/>
      <c r="F3149" s="2"/>
    </row>
    <row r="3150" spans="1:6" x14ac:dyDescent="0.25">
      <c r="A3150" s="40"/>
      <c r="E3150" s="54"/>
      <c r="F3150" s="2"/>
    </row>
    <row r="3151" spans="1:6" x14ac:dyDescent="0.25">
      <c r="A3151" s="40"/>
      <c r="E3151" s="54"/>
      <c r="F3151" s="2"/>
    </row>
    <row r="3152" spans="1:6" x14ac:dyDescent="0.25">
      <c r="A3152" s="40"/>
      <c r="E3152" s="54"/>
      <c r="F3152" s="2"/>
    </row>
    <row r="3153" spans="1:7" x14ac:dyDescent="0.25">
      <c r="A3153" s="40"/>
      <c r="E3153" s="54"/>
      <c r="F3153" s="2"/>
    </row>
    <row r="3154" spans="1:7" x14ac:dyDescent="0.25">
      <c r="A3154" s="40"/>
      <c r="E3154" s="54"/>
      <c r="F3154" s="2"/>
    </row>
    <row r="3155" spans="1:7" x14ac:dyDescent="0.25">
      <c r="A3155" s="40"/>
      <c r="E3155" s="54"/>
      <c r="F3155" s="2"/>
    </row>
    <row r="3156" spans="1:7" x14ac:dyDescent="0.25">
      <c r="A3156" s="40"/>
      <c r="E3156" s="54"/>
      <c r="F3156" s="2"/>
    </row>
    <row r="3157" spans="1:7" x14ac:dyDescent="0.25">
      <c r="A3157" s="40"/>
      <c r="E3157" s="54"/>
      <c r="F3157" s="2"/>
    </row>
    <row r="3158" spans="1:7" x14ac:dyDescent="0.25">
      <c r="A3158" s="40"/>
      <c r="E3158" s="54"/>
      <c r="F3158" s="2"/>
    </row>
    <row r="3159" spans="1:7" x14ac:dyDescent="0.25">
      <c r="A3159" s="40"/>
      <c r="E3159" s="54"/>
      <c r="F3159" s="2"/>
    </row>
    <row r="3160" spans="1:7" x14ac:dyDescent="0.25">
      <c r="A3160" s="40"/>
      <c r="E3160" s="54"/>
      <c r="F3160" s="2"/>
    </row>
    <row r="3161" spans="1:7" x14ac:dyDescent="0.25">
      <c r="A3161" s="40"/>
      <c r="E3161" s="54"/>
      <c r="F3161" s="2"/>
    </row>
    <row r="3162" spans="1:7" x14ac:dyDescent="0.25">
      <c r="A3162" s="40"/>
      <c r="E3162" s="54"/>
      <c r="F3162" s="2"/>
    </row>
    <row r="3163" spans="1:7" x14ac:dyDescent="0.25">
      <c r="A3163" s="40"/>
      <c r="E3163" s="54"/>
      <c r="F3163" s="2"/>
    </row>
    <row r="3164" spans="1:7" x14ac:dyDescent="0.25">
      <c r="A3164" s="39"/>
      <c r="E3164" s="54"/>
    </row>
    <row r="3165" spans="1:7" x14ac:dyDescent="0.25">
      <c r="E3165" s="54"/>
    </row>
    <row r="3166" spans="1:7" x14ac:dyDescent="0.25">
      <c r="E3166" s="54"/>
    </row>
    <row r="3167" spans="1:7" x14ac:dyDescent="0.25">
      <c r="E3167" s="54"/>
    </row>
    <row r="3168" spans="1:7" x14ac:dyDescent="0.25">
      <c r="A3168" s="40"/>
      <c r="E3168" s="54"/>
      <c r="F3168" s="2"/>
      <c r="G3168"/>
    </row>
    <row r="3169" spans="1:7" x14ac:dyDescent="0.25">
      <c r="A3169" s="40"/>
      <c r="E3169" s="54"/>
      <c r="F3169" s="2"/>
      <c r="G3169"/>
    </row>
    <row r="3170" spans="1:7" x14ac:dyDescent="0.25">
      <c r="E3170" s="54"/>
      <c r="G3170"/>
    </row>
    <row r="3171" spans="1:7" x14ac:dyDescent="0.25">
      <c r="E3171" s="54"/>
      <c r="G3171"/>
    </row>
    <row r="3172" spans="1:7" x14ac:dyDescent="0.25">
      <c r="E3172" s="54"/>
      <c r="G3172"/>
    </row>
    <row r="3173" spans="1:7" x14ac:dyDescent="0.25">
      <c r="E3173" s="54"/>
      <c r="G3173"/>
    </row>
    <row r="3174" spans="1:7" x14ac:dyDescent="0.25">
      <c r="E3174" s="54"/>
      <c r="G3174"/>
    </row>
    <row r="3175" spans="1:7" x14ac:dyDescent="0.25">
      <c r="E3175" s="54"/>
      <c r="G3175"/>
    </row>
    <row r="3176" spans="1:7" x14ac:dyDescent="0.25">
      <c r="A3176" s="39"/>
      <c r="E3176" s="54"/>
      <c r="F3176" s="2"/>
      <c r="G3176"/>
    </row>
    <row r="3177" spans="1:7" x14ac:dyDescent="0.25">
      <c r="A3177" s="39"/>
      <c r="E3177" s="54"/>
      <c r="F3177" s="2"/>
      <c r="G3177"/>
    </row>
    <row r="3178" spans="1:7" x14ac:dyDescent="0.25">
      <c r="A3178" s="39"/>
      <c r="E3178" s="54"/>
      <c r="F3178" s="2"/>
      <c r="G3178"/>
    </row>
    <row r="3179" spans="1:7" x14ac:dyDescent="0.25">
      <c r="A3179" s="39"/>
      <c r="E3179" s="54"/>
      <c r="F3179" s="2"/>
      <c r="G3179"/>
    </row>
    <row r="3180" spans="1:7" x14ac:dyDescent="0.25">
      <c r="A3180" s="39"/>
      <c r="E3180" s="54"/>
      <c r="F3180" s="2"/>
      <c r="G3180"/>
    </row>
    <row r="3181" spans="1:7" x14ac:dyDescent="0.25">
      <c r="A3181" s="39"/>
      <c r="E3181" s="54"/>
      <c r="F3181" s="2"/>
      <c r="G3181"/>
    </row>
    <row r="3182" spans="1:7" x14ac:dyDescent="0.25">
      <c r="A3182" s="39"/>
      <c r="E3182" s="54"/>
      <c r="F3182" s="2"/>
      <c r="G3182"/>
    </row>
    <row r="3183" spans="1:7" x14ac:dyDescent="0.25">
      <c r="A3183" s="39"/>
      <c r="E3183" s="54"/>
      <c r="F3183" s="2"/>
      <c r="G3183"/>
    </row>
    <row r="3184" spans="1:7" x14ac:dyDescent="0.25">
      <c r="A3184" s="39"/>
      <c r="E3184" s="54"/>
      <c r="F3184" s="2"/>
      <c r="G3184"/>
    </row>
    <row r="3185" spans="1:7" x14ac:dyDescent="0.25">
      <c r="A3185" s="39"/>
      <c r="E3185" s="54"/>
      <c r="F3185" s="2"/>
      <c r="G3185"/>
    </row>
    <row r="3186" spans="1:7" x14ac:dyDescent="0.25">
      <c r="A3186" s="39"/>
      <c r="E3186" s="54"/>
      <c r="F3186" s="2"/>
      <c r="G3186"/>
    </row>
    <row r="3187" spans="1:7" x14ac:dyDescent="0.25">
      <c r="A3187" s="39"/>
      <c r="E3187" s="54"/>
      <c r="F3187" s="2"/>
      <c r="G3187"/>
    </row>
    <row r="3188" spans="1:7" x14ac:dyDescent="0.25">
      <c r="A3188" s="39"/>
      <c r="E3188" s="54"/>
      <c r="F3188" s="2"/>
      <c r="G3188"/>
    </row>
    <row r="3189" spans="1:7" x14ac:dyDescent="0.25">
      <c r="A3189" s="39"/>
      <c r="E3189" s="54"/>
      <c r="F3189" s="2"/>
      <c r="G3189"/>
    </row>
    <row r="3190" spans="1:7" x14ac:dyDescent="0.25">
      <c r="A3190" s="40"/>
      <c r="E3190" s="54"/>
      <c r="G3190"/>
    </row>
    <row r="3191" spans="1:7" x14ac:dyDescent="0.25">
      <c r="A3191" s="40"/>
      <c r="E3191" s="54"/>
      <c r="G3191"/>
    </row>
    <row r="3192" spans="1:7" x14ac:dyDescent="0.25">
      <c r="A3192" s="40"/>
      <c r="E3192" s="54"/>
      <c r="G3192"/>
    </row>
    <row r="3193" spans="1:7" x14ac:dyDescent="0.25">
      <c r="A3193" s="39"/>
      <c r="E3193" s="54"/>
      <c r="G3193"/>
    </row>
    <row r="3194" spans="1:7" x14ac:dyDescent="0.25">
      <c r="A3194" s="40"/>
      <c r="E3194" s="54"/>
      <c r="F3194" s="2"/>
      <c r="G3194"/>
    </row>
    <row r="3195" spans="1:7" x14ac:dyDescent="0.25">
      <c r="A3195" s="40"/>
      <c r="E3195" s="54"/>
      <c r="F3195" s="2"/>
      <c r="G3195"/>
    </row>
    <row r="3196" spans="1:7" x14ac:dyDescent="0.25">
      <c r="A3196" s="40"/>
      <c r="E3196" s="54"/>
      <c r="F3196" s="2"/>
      <c r="G3196"/>
    </row>
    <row r="3197" spans="1:7" x14ac:dyDescent="0.25">
      <c r="A3197" s="39"/>
      <c r="E3197" s="54"/>
      <c r="G3197"/>
    </row>
    <row r="3198" spans="1:7" x14ac:dyDescent="0.25">
      <c r="A3198" s="39"/>
      <c r="E3198" s="54"/>
      <c r="G3198"/>
    </row>
    <row r="3199" spans="1:7" x14ac:dyDescent="0.25">
      <c r="A3199" s="39"/>
      <c r="E3199" s="54"/>
      <c r="G3199"/>
    </row>
    <row r="3200" spans="1:7" x14ac:dyDescent="0.25">
      <c r="A3200" s="39"/>
      <c r="E3200" s="54"/>
      <c r="G3200"/>
    </row>
    <row r="3201" spans="1:7" x14ac:dyDescent="0.25">
      <c r="A3201" s="39"/>
      <c r="E3201" s="54"/>
      <c r="G3201"/>
    </row>
    <row r="3202" spans="1:7" x14ac:dyDescent="0.25">
      <c r="A3202" s="39"/>
      <c r="E3202" s="54"/>
      <c r="G3202"/>
    </row>
    <row r="3203" spans="1:7" x14ac:dyDescent="0.25">
      <c r="A3203" s="39"/>
      <c r="E3203" s="54"/>
      <c r="F3203" s="2"/>
      <c r="G3203"/>
    </row>
    <row r="3204" spans="1:7" x14ac:dyDescent="0.25">
      <c r="A3204" s="39"/>
      <c r="E3204" s="54"/>
      <c r="F3204" s="2"/>
      <c r="G3204"/>
    </row>
    <row r="3205" spans="1:7" x14ac:dyDescent="0.25">
      <c r="A3205" s="39"/>
      <c r="E3205" s="54"/>
      <c r="F3205" s="2"/>
      <c r="G3205"/>
    </row>
    <row r="3206" spans="1:7" x14ac:dyDescent="0.25">
      <c r="A3206" s="39"/>
      <c r="E3206" s="54"/>
      <c r="F3206" s="2"/>
      <c r="G3206"/>
    </row>
    <row r="3207" spans="1:7" x14ac:dyDescent="0.25">
      <c r="A3207" s="39"/>
      <c r="E3207" s="54"/>
      <c r="F3207" s="2"/>
      <c r="G3207"/>
    </row>
    <row r="3208" spans="1:7" x14ac:dyDescent="0.25">
      <c r="A3208" s="39"/>
      <c r="E3208" s="54"/>
      <c r="F3208" s="2"/>
      <c r="G3208"/>
    </row>
    <row r="3209" spans="1:7" x14ac:dyDescent="0.25">
      <c r="A3209" s="39"/>
      <c r="E3209" s="54"/>
      <c r="F3209" s="2"/>
      <c r="G3209"/>
    </row>
    <row r="3210" spans="1:7" x14ac:dyDescent="0.25">
      <c r="A3210" s="39"/>
      <c r="E3210" s="54"/>
      <c r="F3210" s="2"/>
      <c r="G3210"/>
    </row>
    <row r="3211" spans="1:7" x14ac:dyDescent="0.25">
      <c r="A3211" s="42"/>
      <c r="E3211" s="54"/>
      <c r="F3211" s="2"/>
      <c r="G3211"/>
    </row>
    <row r="3212" spans="1:7" x14ac:dyDescent="0.25">
      <c r="A3212" s="42"/>
      <c r="E3212" s="54"/>
      <c r="F3212" s="2"/>
      <c r="G3212"/>
    </row>
    <row r="3213" spans="1:7" x14ac:dyDescent="0.25">
      <c r="A3213" s="42"/>
      <c r="E3213" s="54"/>
      <c r="F3213" s="2"/>
      <c r="G3213"/>
    </row>
    <row r="3214" spans="1:7" x14ac:dyDescent="0.25">
      <c r="A3214" s="42"/>
      <c r="E3214" s="54"/>
      <c r="F3214" s="2"/>
      <c r="G3214"/>
    </row>
    <row r="3215" spans="1:7" x14ac:dyDescent="0.25">
      <c r="A3215" s="42"/>
      <c r="E3215" s="54"/>
      <c r="F3215" s="2"/>
      <c r="G3215"/>
    </row>
    <row r="3216" spans="1:7" x14ac:dyDescent="0.25">
      <c r="A3216" s="42"/>
      <c r="E3216" s="54"/>
      <c r="F3216" s="2"/>
      <c r="G3216"/>
    </row>
    <row r="3217" spans="1:7" x14ac:dyDescent="0.25">
      <c r="A3217" s="42"/>
      <c r="E3217" s="54"/>
      <c r="F3217" s="2"/>
      <c r="G3217"/>
    </row>
    <row r="3218" spans="1:7" x14ac:dyDescent="0.25">
      <c r="A3218" s="42"/>
      <c r="E3218" s="54"/>
      <c r="F3218" s="2"/>
      <c r="G3218"/>
    </row>
    <row r="3219" spans="1:7" x14ac:dyDescent="0.25">
      <c r="A3219" s="42"/>
      <c r="E3219" s="54"/>
      <c r="F3219" s="2"/>
      <c r="G3219"/>
    </row>
    <row r="3220" spans="1:7" x14ac:dyDescent="0.25">
      <c r="A3220" s="42"/>
      <c r="E3220" s="54"/>
      <c r="F3220" s="2"/>
      <c r="G3220"/>
    </row>
    <row r="3221" spans="1:7" x14ac:dyDescent="0.25">
      <c r="A3221" s="42"/>
      <c r="E3221" s="54"/>
      <c r="F3221" s="2"/>
      <c r="G3221"/>
    </row>
    <row r="3222" spans="1:7" x14ac:dyDescent="0.25">
      <c r="A3222" s="40"/>
      <c r="E3222" s="54"/>
      <c r="F3222" s="2"/>
      <c r="G3222"/>
    </row>
    <row r="3223" spans="1:7" x14ac:dyDescent="0.25">
      <c r="A3223" s="40"/>
      <c r="E3223" s="54"/>
      <c r="F3223" s="2"/>
      <c r="G3223"/>
    </row>
    <row r="3224" spans="1:7" x14ac:dyDescent="0.25">
      <c r="A3224" s="40"/>
      <c r="E3224" s="54"/>
      <c r="F3224" s="2"/>
      <c r="G3224"/>
    </row>
    <row r="3225" spans="1:7" x14ac:dyDescent="0.25">
      <c r="A3225" s="40"/>
      <c r="E3225" s="54"/>
      <c r="F3225" s="2"/>
      <c r="G3225"/>
    </row>
    <row r="3226" spans="1:7" x14ac:dyDescent="0.25">
      <c r="A3226" s="40"/>
      <c r="E3226" s="54"/>
      <c r="F3226" s="2"/>
      <c r="G3226"/>
    </row>
    <row r="3227" spans="1:7" x14ac:dyDescent="0.25">
      <c r="A3227" s="40"/>
      <c r="E3227" s="54"/>
      <c r="F3227" s="2"/>
      <c r="G3227"/>
    </row>
    <row r="3228" spans="1:7" x14ac:dyDescent="0.25">
      <c r="A3228" s="40"/>
      <c r="E3228" s="54"/>
      <c r="F3228" s="2"/>
      <c r="G3228"/>
    </row>
    <row r="3229" spans="1:7" x14ac:dyDescent="0.25">
      <c r="A3229" s="40"/>
      <c r="E3229" s="54"/>
      <c r="F3229" s="2"/>
      <c r="G3229"/>
    </row>
    <row r="3230" spans="1:7" x14ac:dyDescent="0.25">
      <c r="A3230" s="40"/>
      <c r="E3230" s="54"/>
      <c r="F3230" s="2"/>
      <c r="G3230"/>
    </row>
    <row r="3231" spans="1:7" x14ac:dyDescent="0.25">
      <c r="A3231" s="40"/>
      <c r="E3231" s="54"/>
      <c r="F3231" s="2"/>
      <c r="G3231"/>
    </row>
    <row r="3232" spans="1:7" x14ac:dyDescent="0.25">
      <c r="A3232" s="40"/>
      <c r="E3232" s="54"/>
      <c r="F3232" s="2"/>
      <c r="G3232"/>
    </row>
    <row r="3233" spans="1:7" x14ac:dyDescent="0.25">
      <c r="A3233" s="40"/>
      <c r="E3233" s="54"/>
      <c r="F3233" s="2"/>
      <c r="G3233"/>
    </row>
    <row r="3234" spans="1:7" x14ac:dyDescent="0.25">
      <c r="A3234" s="40"/>
      <c r="E3234" s="54"/>
      <c r="F3234" s="2"/>
      <c r="G3234"/>
    </row>
    <row r="3235" spans="1:7" x14ac:dyDescent="0.25">
      <c r="A3235" s="40"/>
      <c r="E3235" s="54"/>
      <c r="F3235" s="2"/>
      <c r="G3235"/>
    </row>
    <row r="3236" spans="1:7" x14ac:dyDescent="0.25">
      <c r="A3236" s="40"/>
      <c r="E3236" s="54"/>
      <c r="F3236" s="2"/>
      <c r="G3236"/>
    </row>
    <row r="3237" spans="1:7" x14ac:dyDescent="0.25">
      <c r="A3237" s="40"/>
      <c r="E3237" s="54"/>
      <c r="F3237" s="2"/>
      <c r="G3237"/>
    </row>
    <row r="3238" spans="1:7" x14ac:dyDescent="0.25">
      <c r="A3238" s="40"/>
      <c r="E3238" s="54"/>
      <c r="F3238" s="2"/>
      <c r="G3238"/>
    </row>
    <row r="3239" spans="1:7" x14ac:dyDescent="0.25">
      <c r="A3239" s="40"/>
      <c r="E3239" s="54"/>
      <c r="F3239" s="2"/>
      <c r="G3239"/>
    </row>
    <row r="3240" spans="1:7" x14ac:dyDescent="0.25">
      <c r="A3240" s="40"/>
      <c r="E3240" s="54"/>
      <c r="F3240" s="2"/>
      <c r="G3240"/>
    </row>
    <row r="3241" spans="1:7" x14ac:dyDescent="0.25">
      <c r="A3241" s="42"/>
      <c r="E3241" s="54"/>
      <c r="F3241" s="2"/>
      <c r="G3241"/>
    </row>
    <row r="3242" spans="1:7" x14ac:dyDescent="0.25">
      <c r="A3242" s="42"/>
      <c r="E3242" s="54"/>
      <c r="G3242"/>
    </row>
    <row r="3243" spans="1:7" x14ac:dyDescent="0.25">
      <c r="A3243" s="42"/>
      <c r="E3243" s="54"/>
      <c r="G3243"/>
    </row>
    <row r="3244" spans="1:7" x14ac:dyDescent="0.25">
      <c r="A3244" s="42"/>
      <c r="G3244"/>
    </row>
    <row r="3245" spans="1:7" x14ac:dyDescent="0.25">
      <c r="A3245" s="39"/>
      <c r="E3245" s="54"/>
    </row>
    <row r="3246" spans="1:7" x14ac:dyDescent="0.25">
      <c r="A3246" s="39"/>
      <c r="E3246" s="54"/>
    </row>
    <row r="3247" spans="1:7" x14ac:dyDescent="0.25">
      <c r="A3247" s="40"/>
      <c r="E3247" s="54"/>
      <c r="F3247" s="2"/>
    </row>
    <row r="3248" spans="1:7" x14ac:dyDescent="0.25">
      <c r="A3248" s="40"/>
      <c r="E3248" s="54"/>
      <c r="F3248" s="2"/>
    </row>
    <row r="3249" spans="1:7" x14ac:dyDescent="0.25">
      <c r="A3249" s="40"/>
      <c r="E3249" s="54"/>
      <c r="F3249" s="2"/>
      <c r="G3249"/>
    </row>
    <row r="3250" spans="1:7" x14ac:dyDescent="0.25">
      <c r="A3250" s="39"/>
      <c r="E3250" s="54"/>
      <c r="F3250" s="2"/>
      <c r="G3250"/>
    </row>
    <row r="3251" spans="1:7" x14ac:dyDescent="0.25">
      <c r="A3251" s="39"/>
      <c r="E3251" s="54"/>
      <c r="F3251" s="2"/>
      <c r="G3251"/>
    </row>
    <row r="3252" spans="1:7" x14ac:dyDescent="0.25">
      <c r="A3252" s="40"/>
      <c r="E3252" s="54"/>
      <c r="F3252" s="2"/>
      <c r="G3252"/>
    </row>
    <row r="3253" spans="1:7" x14ac:dyDescent="0.25">
      <c r="A3253" s="40"/>
      <c r="E3253" s="54"/>
      <c r="F3253" s="2"/>
      <c r="G3253"/>
    </row>
    <row r="3254" spans="1:7" x14ac:dyDescent="0.25">
      <c r="A3254" s="40"/>
      <c r="E3254" s="54"/>
      <c r="F3254" s="2"/>
      <c r="G3254"/>
    </row>
    <row r="3255" spans="1:7" x14ac:dyDescent="0.25">
      <c r="A3255" s="40"/>
      <c r="E3255" s="54"/>
      <c r="F3255" s="2"/>
      <c r="G3255"/>
    </row>
    <row r="3256" spans="1:7" x14ac:dyDescent="0.25">
      <c r="A3256" s="40"/>
      <c r="E3256" s="54"/>
      <c r="F3256" s="2"/>
      <c r="G3256"/>
    </row>
    <row r="3257" spans="1:7" x14ac:dyDescent="0.25">
      <c r="A3257" s="40"/>
      <c r="E3257" s="54"/>
      <c r="F3257" s="2"/>
      <c r="G3257"/>
    </row>
    <row r="3258" spans="1:7" x14ac:dyDescent="0.25">
      <c r="A3258" s="40"/>
      <c r="E3258" s="54"/>
      <c r="F3258" s="2"/>
      <c r="G3258"/>
    </row>
    <row r="3259" spans="1:7" x14ac:dyDescent="0.25">
      <c r="A3259" s="40"/>
      <c r="E3259" s="54"/>
      <c r="F3259" s="2"/>
      <c r="G3259"/>
    </row>
    <row r="3260" spans="1:7" x14ac:dyDescent="0.25">
      <c r="A3260" s="40"/>
      <c r="E3260" s="54"/>
      <c r="F3260" s="2"/>
      <c r="G3260"/>
    </row>
    <row r="3261" spans="1:7" x14ac:dyDescent="0.25">
      <c r="A3261" s="40"/>
      <c r="E3261" s="54"/>
      <c r="F3261" s="2"/>
      <c r="G3261"/>
    </row>
    <row r="3262" spans="1:7" x14ac:dyDescent="0.25">
      <c r="A3262" s="40"/>
      <c r="E3262" s="54"/>
      <c r="F3262" s="2"/>
      <c r="G3262"/>
    </row>
    <row r="3263" spans="1:7" x14ac:dyDescent="0.25">
      <c r="A3263" s="40"/>
      <c r="E3263" s="54"/>
      <c r="F3263" s="2"/>
      <c r="G3263"/>
    </row>
    <row r="3264" spans="1:7" x14ac:dyDescent="0.25">
      <c r="A3264" s="40"/>
      <c r="E3264" s="54"/>
      <c r="F3264" s="2"/>
      <c r="G3264"/>
    </row>
    <row r="3265" spans="1:7" x14ac:dyDescent="0.25">
      <c r="A3265" s="40"/>
      <c r="E3265" s="54"/>
      <c r="F3265" s="2"/>
      <c r="G3265"/>
    </row>
    <row r="3266" spans="1:7" x14ac:dyDescent="0.25">
      <c r="A3266" s="40"/>
      <c r="E3266" s="54"/>
      <c r="F3266" s="2"/>
      <c r="G3266"/>
    </row>
    <row r="3267" spans="1:7" x14ac:dyDescent="0.25">
      <c r="A3267" s="40"/>
      <c r="E3267" s="54"/>
      <c r="F3267" s="2"/>
      <c r="G3267"/>
    </row>
    <row r="3268" spans="1:7" x14ac:dyDescent="0.25">
      <c r="A3268" s="40"/>
      <c r="E3268" s="54"/>
      <c r="F3268" s="2"/>
      <c r="G3268"/>
    </row>
    <row r="3269" spans="1:7" x14ac:dyDescent="0.25">
      <c r="A3269" s="40"/>
      <c r="E3269" s="54"/>
      <c r="F3269" s="2"/>
      <c r="G3269"/>
    </row>
    <row r="3270" spans="1:7" x14ac:dyDescent="0.25">
      <c r="A3270" s="40"/>
      <c r="E3270" s="54"/>
      <c r="F3270" s="2"/>
      <c r="G3270"/>
    </row>
    <row r="3271" spans="1:7" x14ac:dyDescent="0.25">
      <c r="A3271" s="40"/>
      <c r="E3271" s="54"/>
      <c r="F3271" s="2"/>
      <c r="G3271"/>
    </row>
    <row r="3272" spans="1:7" x14ac:dyDescent="0.25">
      <c r="A3272" s="40"/>
      <c r="E3272" s="54"/>
      <c r="F3272" s="2"/>
      <c r="G3272"/>
    </row>
    <row r="3273" spans="1:7" x14ac:dyDescent="0.25">
      <c r="A3273" s="40"/>
      <c r="E3273" s="54"/>
      <c r="F3273" s="2"/>
      <c r="G3273"/>
    </row>
    <row r="3274" spans="1:7" x14ac:dyDescent="0.25">
      <c r="A3274" s="40"/>
      <c r="E3274" s="54"/>
      <c r="F3274" s="2"/>
      <c r="G3274"/>
    </row>
    <row r="3275" spans="1:7" x14ac:dyDescent="0.25">
      <c r="A3275" s="40"/>
      <c r="E3275" s="54"/>
      <c r="F3275" s="2"/>
      <c r="G3275"/>
    </row>
    <row r="3276" spans="1:7" x14ac:dyDescent="0.25">
      <c r="E3276" s="54"/>
    </row>
    <row r="3277" spans="1:7" x14ac:dyDescent="0.25">
      <c r="E3277" s="54"/>
    </row>
    <row r="3278" spans="1:7" x14ac:dyDescent="0.25">
      <c r="E3278" s="54"/>
    </row>
    <row r="3279" spans="1:7" x14ac:dyDescent="0.25">
      <c r="E3279" s="54"/>
    </row>
    <row r="3280" spans="1:7" x14ac:dyDescent="0.25">
      <c r="E3280" s="54"/>
    </row>
    <row r="3281" spans="1:7" x14ac:dyDescent="0.25">
      <c r="E3281" s="54"/>
    </row>
    <row r="3282" spans="1:7" x14ac:dyDescent="0.25">
      <c r="E3282" s="54"/>
    </row>
    <row r="3283" spans="1:7" x14ac:dyDescent="0.25">
      <c r="E3283" s="54"/>
    </row>
    <row r="3284" spans="1:7" x14ac:dyDescent="0.25">
      <c r="E3284" s="54"/>
    </row>
    <row r="3285" spans="1:7" x14ac:dyDescent="0.25">
      <c r="E3285" s="54"/>
    </row>
    <row r="3286" spans="1:7" x14ac:dyDescent="0.25">
      <c r="E3286" s="54"/>
    </row>
    <row r="3287" spans="1:7" x14ac:dyDescent="0.25">
      <c r="A3287" s="40"/>
      <c r="E3287" s="54"/>
      <c r="F3287" s="2"/>
      <c r="G3287"/>
    </row>
    <row r="3288" spans="1:7" x14ac:dyDescent="0.25">
      <c r="A3288" s="40"/>
      <c r="E3288" s="54"/>
      <c r="F3288" s="2"/>
      <c r="G3288"/>
    </row>
    <row r="3289" spans="1:7" x14ac:dyDescent="0.25">
      <c r="A3289" s="40"/>
      <c r="E3289" s="54"/>
      <c r="F3289" s="2"/>
      <c r="G3289"/>
    </row>
    <row r="3290" spans="1:7" x14ac:dyDescent="0.25">
      <c r="A3290" s="40"/>
      <c r="E3290" s="54"/>
      <c r="F3290" s="2"/>
      <c r="G3290"/>
    </row>
    <row r="3291" spans="1:7" x14ac:dyDescent="0.25">
      <c r="A3291" s="40"/>
      <c r="E3291" s="54"/>
      <c r="F3291" s="2"/>
      <c r="G3291"/>
    </row>
    <row r="3292" spans="1:7" x14ac:dyDescent="0.25">
      <c r="A3292" s="40"/>
      <c r="E3292" s="54"/>
      <c r="F3292" s="2"/>
      <c r="G3292"/>
    </row>
    <row r="3293" spans="1:7" x14ac:dyDescent="0.25">
      <c r="A3293" s="40"/>
      <c r="E3293" s="54"/>
      <c r="F3293" s="2"/>
      <c r="G3293"/>
    </row>
    <row r="3294" spans="1:7" x14ac:dyDescent="0.25">
      <c r="A3294" s="40"/>
      <c r="E3294" s="54"/>
      <c r="F3294" s="2"/>
      <c r="G3294"/>
    </row>
    <row r="3295" spans="1:7" x14ac:dyDescent="0.25">
      <c r="A3295" s="40"/>
      <c r="E3295" s="54"/>
      <c r="F3295" s="2"/>
      <c r="G3295"/>
    </row>
    <row r="3296" spans="1:7" x14ac:dyDescent="0.25">
      <c r="A3296" s="40"/>
      <c r="E3296" s="54"/>
      <c r="F3296" s="2"/>
      <c r="G3296"/>
    </row>
    <row r="3297" spans="1:7" x14ac:dyDescent="0.25">
      <c r="A3297" s="40"/>
      <c r="E3297" s="54"/>
      <c r="F3297" s="2"/>
      <c r="G3297"/>
    </row>
    <row r="3298" spans="1:7" x14ac:dyDescent="0.25">
      <c r="A3298" s="40"/>
      <c r="E3298" s="54"/>
      <c r="F3298" s="2"/>
      <c r="G3298"/>
    </row>
    <row r="3299" spans="1:7" x14ac:dyDescent="0.25">
      <c r="A3299" s="40"/>
      <c r="E3299" s="54"/>
      <c r="F3299" s="2"/>
      <c r="G3299"/>
    </row>
    <row r="3300" spans="1:7" x14ac:dyDescent="0.25">
      <c r="A3300" s="40"/>
      <c r="E3300" s="54"/>
      <c r="F3300" s="2"/>
      <c r="G3300"/>
    </row>
    <row r="3301" spans="1:7" x14ac:dyDescent="0.25">
      <c r="A3301" s="40"/>
      <c r="E3301" s="54"/>
      <c r="F3301" s="2"/>
      <c r="G3301"/>
    </row>
    <row r="3302" spans="1:7" x14ac:dyDescent="0.25">
      <c r="A3302" s="40"/>
      <c r="E3302" s="54"/>
      <c r="F3302" s="2"/>
      <c r="G3302"/>
    </row>
    <row r="3303" spans="1:7" x14ac:dyDescent="0.25">
      <c r="A3303" s="40"/>
      <c r="E3303" s="54"/>
      <c r="F3303" s="2"/>
      <c r="G3303"/>
    </row>
    <row r="3304" spans="1:7" x14ac:dyDescent="0.25">
      <c r="A3304" s="40"/>
      <c r="E3304" s="54"/>
      <c r="F3304" s="2"/>
      <c r="G3304"/>
    </row>
    <row r="3305" spans="1:7" x14ac:dyDescent="0.25">
      <c r="A3305" s="40"/>
      <c r="E3305" s="54"/>
      <c r="F3305" s="2"/>
      <c r="G3305"/>
    </row>
    <row r="3306" spans="1:7" x14ac:dyDescent="0.25">
      <c r="A3306" s="40"/>
      <c r="E3306" s="54"/>
      <c r="F3306" s="2"/>
      <c r="G3306"/>
    </row>
    <row r="3307" spans="1:7" x14ac:dyDescent="0.25">
      <c r="A3307" s="40"/>
      <c r="E3307" s="54"/>
      <c r="F3307" s="2"/>
      <c r="G3307"/>
    </row>
    <row r="3308" spans="1:7" x14ac:dyDescent="0.25">
      <c r="A3308" s="40"/>
      <c r="E3308" s="54"/>
      <c r="F3308" s="2"/>
      <c r="G3308"/>
    </row>
    <row r="3309" spans="1:7" x14ac:dyDescent="0.25">
      <c r="A3309" s="40"/>
      <c r="E3309" s="54"/>
      <c r="F3309" s="2"/>
      <c r="G3309"/>
    </row>
    <row r="3310" spans="1:7" x14ac:dyDescent="0.25">
      <c r="A3310" s="40"/>
      <c r="E3310" s="54"/>
      <c r="F3310" s="2"/>
      <c r="G3310"/>
    </row>
    <row r="3311" spans="1:7" x14ac:dyDescent="0.25">
      <c r="A3311" s="40"/>
      <c r="E3311" s="54"/>
      <c r="F3311" s="2"/>
      <c r="G3311"/>
    </row>
    <row r="3312" spans="1:7" x14ac:dyDescent="0.25">
      <c r="A3312" s="40"/>
      <c r="E3312" s="54"/>
      <c r="F3312" s="2"/>
      <c r="G3312"/>
    </row>
    <row r="3313" spans="1:7" x14ac:dyDescent="0.25">
      <c r="A3313" s="40"/>
      <c r="E3313" s="54"/>
      <c r="F3313" s="2"/>
      <c r="G3313"/>
    </row>
    <row r="3314" spans="1:7" x14ac:dyDescent="0.25">
      <c r="A3314" s="40"/>
      <c r="E3314" s="54"/>
      <c r="F3314" s="2"/>
      <c r="G3314"/>
    </row>
    <row r="3315" spans="1:7" x14ac:dyDescent="0.25">
      <c r="A3315" s="40"/>
      <c r="E3315" s="54"/>
      <c r="F3315" s="2"/>
      <c r="G3315"/>
    </row>
    <row r="3316" spans="1:7" x14ac:dyDescent="0.25">
      <c r="A3316" s="40"/>
      <c r="E3316" s="54"/>
      <c r="F3316" s="2"/>
      <c r="G3316"/>
    </row>
    <row r="3317" spans="1:7" x14ac:dyDescent="0.25">
      <c r="A3317" s="40"/>
      <c r="E3317" s="54"/>
      <c r="F3317" s="2"/>
      <c r="G3317"/>
    </row>
    <row r="3318" spans="1:7" x14ac:dyDescent="0.25">
      <c r="A3318" s="40"/>
      <c r="E3318" s="54"/>
      <c r="F3318" s="2"/>
      <c r="G3318"/>
    </row>
    <row r="3319" spans="1:7" x14ac:dyDescent="0.25">
      <c r="A3319" s="40"/>
      <c r="E3319" s="54"/>
      <c r="F3319" s="2"/>
      <c r="G3319"/>
    </row>
    <row r="3320" spans="1:7" x14ac:dyDescent="0.25">
      <c r="A3320" s="40"/>
      <c r="E3320" s="54"/>
      <c r="F3320" s="2"/>
      <c r="G3320"/>
    </row>
    <row r="3321" spans="1:7" x14ac:dyDescent="0.25">
      <c r="A3321" s="40"/>
      <c r="E3321" s="54"/>
      <c r="F3321" s="2"/>
      <c r="G3321"/>
    </row>
    <row r="3322" spans="1:7" x14ac:dyDescent="0.25">
      <c r="A3322" s="40"/>
      <c r="E3322" s="54"/>
      <c r="F3322" s="2"/>
      <c r="G3322"/>
    </row>
    <row r="3323" spans="1:7" x14ac:dyDescent="0.25">
      <c r="A3323" s="40"/>
      <c r="E3323" s="54"/>
      <c r="F3323" s="2"/>
      <c r="G3323"/>
    </row>
    <row r="3324" spans="1:7" x14ac:dyDescent="0.25">
      <c r="A3324" s="40"/>
      <c r="E3324" s="54"/>
      <c r="F3324" s="2"/>
      <c r="G3324"/>
    </row>
    <row r="3325" spans="1:7" x14ac:dyDescent="0.25">
      <c r="A3325" s="40"/>
      <c r="E3325" s="54"/>
      <c r="F3325" s="2"/>
      <c r="G3325"/>
    </row>
    <row r="3326" spans="1:7" x14ac:dyDescent="0.25">
      <c r="A3326" s="40"/>
      <c r="E3326" s="54"/>
      <c r="F3326" s="2"/>
      <c r="G3326"/>
    </row>
    <row r="3327" spans="1:7" x14ac:dyDescent="0.25">
      <c r="A3327" s="40"/>
      <c r="E3327" s="54"/>
      <c r="F3327" s="2"/>
      <c r="G3327"/>
    </row>
    <row r="3328" spans="1:7" x14ac:dyDescent="0.25">
      <c r="A3328" s="40"/>
      <c r="E3328" s="54"/>
      <c r="F3328" s="2"/>
      <c r="G3328"/>
    </row>
    <row r="3329" spans="1:7" x14ac:dyDescent="0.25">
      <c r="A3329" s="40"/>
      <c r="E3329" s="54"/>
      <c r="F3329" s="2"/>
      <c r="G3329"/>
    </row>
    <row r="3330" spans="1:7" x14ac:dyDescent="0.25">
      <c r="A3330" s="40"/>
      <c r="E3330" s="54"/>
      <c r="F3330" s="2"/>
      <c r="G3330"/>
    </row>
    <row r="3331" spans="1:7" x14ac:dyDescent="0.25">
      <c r="A3331" s="40"/>
      <c r="E3331" s="54"/>
      <c r="F3331" s="2"/>
      <c r="G3331"/>
    </row>
    <row r="3332" spans="1:7" x14ac:dyDescent="0.25">
      <c r="A3332" s="40"/>
      <c r="E3332" s="54"/>
      <c r="F3332" s="2"/>
      <c r="G3332"/>
    </row>
    <row r="3333" spans="1:7" x14ac:dyDescent="0.25">
      <c r="A3333" s="40"/>
      <c r="E3333" s="54"/>
      <c r="F3333" s="2"/>
      <c r="G3333"/>
    </row>
    <row r="3334" spans="1:7" x14ac:dyDescent="0.25">
      <c r="A3334" s="40"/>
      <c r="E3334" s="54"/>
      <c r="F3334" s="2"/>
      <c r="G3334"/>
    </row>
    <row r="3335" spans="1:7" x14ac:dyDescent="0.25">
      <c r="A3335" s="40"/>
      <c r="E3335" s="54"/>
      <c r="F3335" s="2"/>
      <c r="G3335"/>
    </row>
    <row r="3336" spans="1:7" x14ac:dyDescent="0.25">
      <c r="A3336" s="40"/>
      <c r="E3336" s="54"/>
      <c r="F3336" s="2"/>
      <c r="G3336"/>
    </row>
    <row r="3337" spans="1:7" x14ac:dyDescent="0.25">
      <c r="A3337" s="40"/>
      <c r="E3337" s="54"/>
      <c r="G3337"/>
    </row>
    <row r="3338" spans="1:7" x14ac:dyDescent="0.25">
      <c r="E3338" s="54"/>
      <c r="G3338"/>
    </row>
    <row r="3339" spans="1:7" x14ac:dyDescent="0.25">
      <c r="E3339" s="54"/>
      <c r="G3339"/>
    </row>
    <row r="3340" spans="1:7" x14ac:dyDescent="0.25">
      <c r="E3340" s="54"/>
      <c r="G3340"/>
    </row>
    <row r="3341" spans="1:7" x14ac:dyDescent="0.25">
      <c r="E3341" s="54"/>
      <c r="G3341"/>
    </row>
    <row r="3342" spans="1:7" x14ac:dyDescent="0.25">
      <c r="A3342" s="42"/>
      <c r="E3342" s="54"/>
      <c r="F3342" s="2"/>
      <c r="G3342"/>
    </row>
    <row r="3343" spans="1:7" x14ac:dyDescent="0.25">
      <c r="A3343" s="40"/>
      <c r="E3343" s="54"/>
      <c r="G3343"/>
    </row>
    <row r="3344" spans="1:7" x14ac:dyDescent="0.25">
      <c r="A3344" s="40"/>
      <c r="E3344" s="54"/>
      <c r="G3344"/>
    </row>
    <row r="3345" spans="1:7" x14ac:dyDescent="0.25">
      <c r="A3345" s="40"/>
      <c r="E3345" s="54"/>
      <c r="G3345"/>
    </row>
    <row r="3346" spans="1:7" x14ac:dyDescent="0.25">
      <c r="A3346" s="40"/>
      <c r="E3346" s="54"/>
      <c r="G3346"/>
    </row>
    <row r="3347" spans="1:7" x14ac:dyDescent="0.25">
      <c r="A3347" s="40"/>
      <c r="E3347" s="54"/>
      <c r="G3347"/>
    </row>
    <row r="3348" spans="1:7" x14ac:dyDescent="0.25">
      <c r="A3348" s="40"/>
      <c r="E3348" s="54"/>
      <c r="G3348"/>
    </row>
    <row r="3349" spans="1:7" x14ac:dyDescent="0.25">
      <c r="A3349" s="40"/>
      <c r="E3349" s="54"/>
      <c r="G3349"/>
    </row>
    <row r="3350" spans="1:7" x14ac:dyDescent="0.25">
      <c r="A3350" s="40"/>
      <c r="E3350" s="54"/>
      <c r="G3350"/>
    </row>
    <row r="3351" spans="1:7" x14ac:dyDescent="0.25">
      <c r="E3351" s="54"/>
      <c r="G3351"/>
    </row>
    <row r="3352" spans="1:7" x14ac:dyDescent="0.25">
      <c r="E3352" s="54"/>
      <c r="G3352"/>
    </row>
    <row r="3353" spans="1:7" x14ac:dyDescent="0.25">
      <c r="A3353" s="40"/>
      <c r="E3353" s="54"/>
      <c r="F3353" s="2"/>
      <c r="G3353"/>
    </row>
    <row r="3354" spans="1:7" x14ac:dyDescent="0.25">
      <c r="A3354" s="39"/>
      <c r="E3354" s="54"/>
      <c r="F3354" s="2"/>
      <c r="G3354"/>
    </row>
    <row r="3355" spans="1:7" x14ac:dyDescent="0.25">
      <c r="A3355" s="39"/>
      <c r="E3355" s="54"/>
      <c r="F3355" s="2"/>
      <c r="G3355"/>
    </row>
    <row r="3356" spans="1:7" x14ac:dyDescent="0.25">
      <c r="A3356" s="39"/>
      <c r="E3356" s="54"/>
      <c r="F3356" s="2"/>
      <c r="G3356"/>
    </row>
    <row r="3357" spans="1:7" x14ac:dyDescent="0.25">
      <c r="A3357" s="39"/>
      <c r="E3357" s="54"/>
      <c r="F3357" s="2"/>
      <c r="G3357"/>
    </row>
    <row r="3358" spans="1:7" x14ac:dyDescent="0.25">
      <c r="A3358" s="39"/>
      <c r="E3358" s="54"/>
      <c r="F3358" s="2"/>
      <c r="G3358"/>
    </row>
    <row r="3359" spans="1:7" x14ac:dyDescent="0.25">
      <c r="A3359" s="39"/>
      <c r="E3359" s="54"/>
      <c r="F3359" s="2"/>
      <c r="G3359"/>
    </row>
    <row r="3360" spans="1:7" x14ac:dyDescent="0.25">
      <c r="E3360" s="54"/>
      <c r="G3360"/>
    </row>
    <row r="3361" spans="1:7" x14ac:dyDescent="0.25">
      <c r="G3361"/>
    </row>
    <row r="3362" spans="1:7" x14ac:dyDescent="0.25">
      <c r="G3362"/>
    </row>
    <row r="3363" spans="1:7" x14ac:dyDescent="0.25">
      <c r="G3363"/>
    </row>
    <row r="3364" spans="1:7" x14ac:dyDescent="0.25">
      <c r="G3364"/>
    </row>
    <row r="3365" spans="1:7" x14ac:dyDescent="0.25">
      <c r="G3365"/>
    </row>
    <row r="3366" spans="1:7" x14ac:dyDescent="0.25">
      <c r="G3366"/>
    </row>
    <row r="3367" spans="1:7" x14ac:dyDescent="0.25">
      <c r="G3367"/>
    </row>
    <row r="3368" spans="1:7" x14ac:dyDescent="0.25">
      <c r="G3368"/>
    </row>
    <row r="3369" spans="1:7" x14ac:dyDescent="0.25">
      <c r="G3369"/>
    </row>
    <row r="3370" spans="1:7" x14ac:dyDescent="0.25">
      <c r="G3370"/>
    </row>
    <row r="3371" spans="1:7" x14ac:dyDescent="0.25">
      <c r="G3371"/>
    </row>
    <row r="3372" spans="1:7" x14ac:dyDescent="0.25">
      <c r="G3372"/>
    </row>
    <row r="3373" spans="1:7" x14ac:dyDescent="0.25">
      <c r="A3373" s="45"/>
      <c r="F3373"/>
      <c r="G3373"/>
    </row>
    <row r="3374" spans="1:7" x14ac:dyDescent="0.25">
      <c r="G3374"/>
    </row>
    <row r="3375" spans="1:7" x14ac:dyDescent="0.25">
      <c r="G3375"/>
    </row>
    <row r="3376" spans="1:7" x14ac:dyDescent="0.25">
      <c r="G3376"/>
    </row>
    <row r="3377" spans="5:7" x14ac:dyDescent="0.25">
      <c r="G3377"/>
    </row>
    <row r="3378" spans="5:7" x14ac:dyDescent="0.25">
      <c r="G3378"/>
    </row>
    <row r="3379" spans="5:7" x14ac:dyDescent="0.25">
      <c r="G3379"/>
    </row>
    <row r="3380" spans="5:7" x14ac:dyDescent="0.25">
      <c r="G3380"/>
    </row>
    <row r="3381" spans="5:7" x14ac:dyDescent="0.25">
      <c r="G3381"/>
    </row>
    <row r="3382" spans="5:7" x14ac:dyDescent="0.25">
      <c r="G3382"/>
    </row>
    <row r="3383" spans="5:7" x14ac:dyDescent="0.25">
      <c r="G3383"/>
    </row>
    <row r="3384" spans="5:7" x14ac:dyDescent="0.25">
      <c r="G3384"/>
    </row>
    <row r="3385" spans="5:7" x14ac:dyDescent="0.25">
      <c r="G3385"/>
    </row>
    <row r="3386" spans="5:7" x14ac:dyDescent="0.25">
      <c r="G3386"/>
    </row>
    <row r="3387" spans="5:7" x14ac:dyDescent="0.25">
      <c r="G3387"/>
    </row>
    <row r="3388" spans="5:7" x14ac:dyDescent="0.25">
      <c r="G3388"/>
    </row>
    <row r="3389" spans="5:7" x14ac:dyDescent="0.25">
      <c r="G3389"/>
    </row>
    <row r="3390" spans="5:7" x14ac:dyDescent="0.25">
      <c r="E3390" s="54"/>
      <c r="G3390"/>
    </row>
    <row r="3391" spans="5:7" x14ac:dyDescent="0.25">
      <c r="E3391" s="54"/>
      <c r="G3391"/>
    </row>
    <row r="3392" spans="5:7" x14ac:dyDescent="0.25">
      <c r="E3392" s="54"/>
      <c r="G3392"/>
    </row>
    <row r="3393" spans="5:7" x14ac:dyDescent="0.25">
      <c r="E3393" s="54"/>
      <c r="G3393"/>
    </row>
    <row r="3394" spans="5:7" x14ac:dyDescent="0.25">
      <c r="E3394" s="54"/>
      <c r="G3394"/>
    </row>
    <row r="3395" spans="5:7" x14ac:dyDescent="0.25">
      <c r="E3395" s="54"/>
      <c r="G3395"/>
    </row>
    <row r="3396" spans="5:7" x14ac:dyDescent="0.25">
      <c r="E3396" s="54"/>
      <c r="G3396"/>
    </row>
    <row r="3397" spans="5:7" x14ac:dyDescent="0.25">
      <c r="E3397" s="54"/>
      <c r="G3397"/>
    </row>
    <row r="3398" spans="5:7" x14ac:dyDescent="0.25">
      <c r="E3398" s="54"/>
      <c r="G3398"/>
    </row>
    <row r="3399" spans="5:7" x14ac:dyDescent="0.25">
      <c r="E3399" s="54"/>
      <c r="G3399"/>
    </row>
    <row r="3400" spans="5:7" x14ac:dyDescent="0.25">
      <c r="E3400" s="54"/>
      <c r="G3400"/>
    </row>
    <row r="3401" spans="5:7" x14ac:dyDescent="0.25">
      <c r="E3401" s="54"/>
      <c r="G3401"/>
    </row>
    <row r="3402" spans="5:7" x14ac:dyDescent="0.25">
      <c r="E3402" s="54"/>
      <c r="G3402"/>
    </row>
    <row r="3403" spans="5:7" x14ac:dyDescent="0.25">
      <c r="E3403" s="54"/>
      <c r="G3403"/>
    </row>
    <row r="3404" spans="5:7" x14ac:dyDescent="0.25">
      <c r="E3404" s="54"/>
      <c r="G3404"/>
    </row>
    <row r="3405" spans="5:7" x14ac:dyDescent="0.25">
      <c r="E3405" s="54"/>
      <c r="G3405"/>
    </row>
    <row r="3406" spans="5:7" x14ac:dyDescent="0.25">
      <c r="E3406" s="54"/>
      <c r="G3406"/>
    </row>
    <row r="3407" spans="5:7" x14ac:dyDescent="0.25">
      <c r="E3407" s="54"/>
      <c r="G3407"/>
    </row>
    <row r="3408" spans="5:7" x14ac:dyDescent="0.25">
      <c r="E3408" s="54"/>
      <c r="G3408"/>
    </row>
    <row r="3409" spans="1:7" x14ac:dyDescent="0.25">
      <c r="E3409" s="54"/>
      <c r="G3409"/>
    </row>
    <row r="3410" spans="1:7" x14ac:dyDescent="0.25">
      <c r="E3410" s="54"/>
      <c r="G3410"/>
    </row>
    <row r="3411" spans="1:7" x14ac:dyDescent="0.25">
      <c r="E3411" s="54"/>
      <c r="G3411"/>
    </row>
    <row r="3412" spans="1:7" x14ac:dyDescent="0.25">
      <c r="E3412" s="54"/>
      <c r="G3412"/>
    </row>
    <row r="3413" spans="1:7" x14ac:dyDescent="0.25">
      <c r="E3413" s="54"/>
      <c r="G3413"/>
    </row>
    <row r="3414" spans="1:7" x14ac:dyDescent="0.25">
      <c r="E3414" s="54"/>
      <c r="G3414"/>
    </row>
    <row r="3415" spans="1:7" x14ac:dyDescent="0.25">
      <c r="E3415" s="54"/>
      <c r="G3415"/>
    </row>
    <row r="3416" spans="1:7" x14ac:dyDescent="0.25">
      <c r="G3416"/>
    </row>
    <row r="3417" spans="1:7" x14ac:dyDescent="0.25">
      <c r="G3417"/>
    </row>
    <row r="3418" spans="1:7" x14ac:dyDescent="0.25">
      <c r="G3418"/>
    </row>
    <row r="3419" spans="1:7" x14ac:dyDescent="0.25">
      <c r="A3419" s="39"/>
      <c r="E3419" s="54"/>
      <c r="F3419" s="2"/>
      <c r="G3419"/>
    </row>
    <row r="3420" spans="1:7" x14ac:dyDescent="0.25">
      <c r="G3420"/>
    </row>
    <row r="3421" spans="1:7" x14ac:dyDescent="0.25">
      <c r="G3421"/>
    </row>
    <row r="3422" spans="1:7" x14ac:dyDescent="0.25">
      <c r="G3422"/>
    </row>
    <row r="3423" spans="1:7" x14ac:dyDescent="0.25">
      <c r="A3423" s="39"/>
      <c r="E3423" s="54"/>
      <c r="F3423" s="2"/>
      <c r="G3423"/>
    </row>
    <row r="3424" spans="1:7" x14ac:dyDescent="0.25">
      <c r="E3424" s="54"/>
      <c r="G3424"/>
    </row>
    <row r="3425" spans="5:7" x14ac:dyDescent="0.25">
      <c r="E3425" s="54"/>
      <c r="G3425"/>
    </row>
    <row r="3426" spans="5:7" x14ac:dyDescent="0.25">
      <c r="E3426" s="54"/>
      <c r="G3426"/>
    </row>
    <row r="3427" spans="5:7" x14ac:dyDescent="0.25">
      <c r="E3427" s="54"/>
      <c r="G3427"/>
    </row>
    <row r="3428" spans="5:7" x14ac:dyDescent="0.25">
      <c r="E3428" s="54"/>
      <c r="G3428"/>
    </row>
    <row r="3429" spans="5:7" x14ac:dyDescent="0.25">
      <c r="E3429" s="54"/>
      <c r="G3429"/>
    </row>
    <row r="3430" spans="5:7" x14ac:dyDescent="0.25">
      <c r="E3430" s="54"/>
      <c r="G3430"/>
    </row>
    <row r="3431" spans="5:7" x14ac:dyDescent="0.25">
      <c r="E3431" s="54"/>
      <c r="G3431"/>
    </row>
    <row r="3432" spans="5:7" x14ac:dyDescent="0.25">
      <c r="E3432" s="54"/>
      <c r="G3432"/>
    </row>
    <row r="3433" spans="5:7" x14ac:dyDescent="0.25">
      <c r="E3433" s="54"/>
      <c r="G3433"/>
    </row>
    <row r="3434" spans="5:7" x14ac:dyDescent="0.25">
      <c r="E3434" s="54"/>
      <c r="G3434"/>
    </row>
    <row r="3435" spans="5:7" x14ac:dyDescent="0.25">
      <c r="E3435" s="54"/>
      <c r="G3435"/>
    </row>
    <row r="3436" spans="5:7" x14ac:dyDescent="0.25">
      <c r="E3436" s="54"/>
      <c r="G3436"/>
    </row>
    <row r="3437" spans="5:7" x14ac:dyDescent="0.25">
      <c r="E3437" s="54"/>
      <c r="G3437"/>
    </row>
    <row r="3438" spans="5:7" x14ac:dyDescent="0.25">
      <c r="E3438" s="54"/>
      <c r="G3438"/>
    </row>
    <row r="3439" spans="5:7" x14ac:dyDescent="0.25">
      <c r="E3439" s="54"/>
      <c r="G3439"/>
    </row>
    <row r="3440" spans="5:7" x14ac:dyDescent="0.25">
      <c r="E3440" s="54"/>
      <c r="G3440"/>
    </row>
    <row r="3441" spans="5:7" x14ac:dyDescent="0.25">
      <c r="E3441" s="54"/>
      <c r="G3441"/>
    </row>
    <row r="3442" spans="5:7" x14ac:dyDescent="0.25">
      <c r="E3442" s="54"/>
      <c r="G3442"/>
    </row>
    <row r="3443" spans="5:7" x14ac:dyDescent="0.25">
      <c r="E3443" s="54"/>
      <c r="G3443"/>
    </row>
    <row r="3444" spans="5:7" x14ac:dyDescent="0.25">
      <c r="E3444" s="54"/>
      <c r="G3444"/>
    </row>
    <row r="3445" spans="5:7" x14ac:dyDescent="0.25">
      <c r="E3445" s="54"/>
      <c r="G3445"/>
    </row>
    <row r="3446" spans="5:7" x14ac:dyDescent="0.25">
      <c r="E3446" s="54"/>
      <c r="G3446"/>
    </row>
    <row r="3447" spans="5:7" x14ac:dyDescent="0.25">
      <c r="E3447" s="54"/>
      <c r="G3447"/>
    </row>
    <row r="3448" spans="5:7" x14ac:dyDescent="0.25">
      <c r="E3448" s="54"/>
      <c r="G3448"/>
    </row>
    <row r="3449" spans="5:7" x14ac:dyDescent="0.25">
      <c r="E3449" s="54"/>
      <c r="G3449"/>
    </row>
    <row r="3450" spans="5:7" x14ac:dyDescent="0.25">
      <c r="E3450" s="54"/>
      <c r="G3450"/>
    </row>
    <row r="3451" spans="5:7" x14ac:dyDescent="0.25">
      <c r="E3451" s="54"/>
      <c r="G3451"/>
    </row>
    <row r="3452" spans="5:7" x14ac:dyDescent="0.25">
      <c r="E3452" s="54"/>
      <c r="G3452"/>
    </row>
    <row r="3453" spans="5:7" x14ac:dyDescent="0.25">
      <c r="E3453" s="54"/>
      <c r="G3453"/>
    </row>
    <row r="3454" spans="5:7" x14ac:dyDescent="0.25">
      <c r="E3454" s="54"/>
      <c r="G3454"/>
    </row>
    <row r="3455" spans="5:7" x14ac:dyDescent="0.25">
      <c r="E3455" s="54"/>
      <c r="G3455"/>
    </row>
    <row r="3456" spans="5:7" x14ac:dyDescent="0.25">
      <c r="E3456" s="54"/>
      <c r="G3456"/>
    </row>
    <row r="3457" spans="1:7" x14ac:dyDescent="0.25">
      <c r="E3457" s="54"/>
      <c r="G3457"/>
    </row>
    <row r="3458" spans="1:7" x14ac:dyDescent="0.25">
      <c r="E3458" s="54"/>
      <c r="G3458"/>
    </row>
    <row r="3459" spans="1:7" x14ac:dyDescent="0.25">
      <c r="E3459" s="54"/>
      <c r="G3459"/>
    </row>
    <row r="3460" spans="1:7" x14ac:dyDescent="0.25">
      <c r="E3460" s="54"/>
      <c r="G3460"/>
    </row>
    <row r="3461" spans="1:7" x14ac:dyDescent="0.25">
      <c r="E3461" s="54"/>
      <c r="G3461"/>
    </row>
    <row r="3462" spans="1:7" x14ac:dyDescent="0.25">
      <c r="E3462" s="54"/>
      <c r="G3462"/>
    </row>
    <row r="3463" spans="1:7" x14ac:dyDescent="0.25">
      <c r="E3463" s="54"/>
      <c r="G3463"/>
    </row>
    <row r="3464" spans="1:7" x14ac:dyDescent="0.25">
      <c r="E3464" s="54"/>
      <c r="G3464"/>
    </row>
    <row r="3465" spans="1:7" x14ac:dyDescent="0.25">
      <c r="E3465" s="54"/>
      <c r="G3465"/>
    </row>
    <row r="3466" spans="1:7" x14ac:dyDescent="0.25">
      <c r="E3466" s="54"/>
      <c r="G3466"/>
    </row>
    <row r="3467" spans="1:7" x14ac:dyDescent="0.25">
      <c r="E3467" s="54"/>
      <c r="G3467"/>
    </row>
    <row r="3468" spans="1:7" x14ac:dyDescent="0.25">
      <c r="E3468" s="54"/>
      <c r="G3468"/>
    </row>
    <row r="3469" spans="1:7" x14ac:dyDescent="0.25">
      <c r="E3469" s="54"/>
      <c r="G3469"/>
    </row>
    <row r="3470" spans="1:7" x14ac:dyDescent="0.25">
      <c r="A3470" s="45"/>
      <c r="E3470" s="54"/>
      <c r="F3470"/>
      <c r="G3470"/>
    </row>
    <row r="3471" spans="1:7" x14ac:dyDescent="0.25">
      <c r="A3471" s="45"/>
      <c r="E3471" s="54"/>
      <c r="F3471"/>
      <c r="G3471"/>
    </row>
    <row r="3472" spans="1:7" x14ac:dyDescent="0.25">
      <c r="A3472" s="45"/>
      <c r="E3472" s="54"/>
      <c r="F3472"/>
      <c r="G3472"/>
    </row>
    <row r="3473" spans="1:7" x14ac:dyDescent="0.25">
      <c r="A3473" s="45"/>
      <c r="E3473" s="54"/>
      <c r="F3473"/>
      <c r="G3473"/>
    </row>
    <row r="3474" spans="1:7" x14ac:dyDescent="0.25">
      <c r="A3474" s="45"/>
      <c r="E3474" s="54"/>
      <c r="F3474"/>
      <c r="G3474"/>
    </row>
    <row r="3475" spans="1:7" x14ac:dyDescent="0.25">
      <c r="A3475" s="45"/>
      <c r="E3475" s="54"/>
      <c r="F3475"/>
      <c r="G3475"/>
    </row>
    <row r="3476" spans="1:7" x14ac:dyDescent="0.25">
      <c r="A3476" s="45"/>
      <c r="E3476" s="54"/>
      <c r="F3476"/>
      <c r="G3476"/>
    </row>
    <row r="3477" spans="1:7" x14ac:dyDescent="0.25">
      <c r="A3477" s="45"/>
      <c r="E3477" s="54"/>
      <c r="F3477"/>
      <c r="G3477"/>
    </row>
    <row r="3478" spans="1:7" x14ac:dyDescent="0.25">
      <c r="A3478" s="45"/>
      <c r="E3478" s="54"/>
      <c r="F3478"/>
      <c r="G3478"/>
    </row>
    <row r="3479" spans="1:7" x14ac:dyDescent="0.25">
      <c r="A3479" s="45"/>
      <c r="E3479" s="54"/>
      <c r="F3479"/>
      <c r="G3479"/>
    </row>
    <row r="3480" spans="1:7" x14ac:dyDescent="0.25">
      <c r="A3480" s="45"/>
      <c r="E3480" s="54"/>
      <c r="F3480"/>
      <c r="G3480"/>
    </row>
    <row r="3481" spans="1:7" x14ac:dyDescent="0.25">
      <c r="A3481" s="45"/>
      <c r="E3481" s="54"/>
      <c r="F3481"/>
      <c r="G3481"/>
    </row>
    <row r="3482" spans="1:7" x14ac:dyDescent="0.25">
      <c r="A3482" s="45"/>
      <c r="E3482" s="54"/>
      <c r="F3482"/>
      <c r="G3482"/>
    </row>
    <row r="3483" spans="1:7" x14ac:dyDescent="0.25">
      <c r="A3483" s="45"/>
      <c r="E3483" s="54"/>
      <c r="F3483"/>
      <c r="G3483"/>
    </row>
    <row r="3484" spans="1:7" x14ac:dyDescent="0.25">
      <c r="A3484" s="45"/>
      <c r="E3484" s="54"/>
      <c r="F3484"/>
      <c r="G3484"/>
    </row>
    <row r="3485" spans="1:7" x14ac:dyDescent="0.25">
      <c r="A3485" s="45"/>
      <c r="E3485" s="54"/>
      <c r="F3485"/>
      <c r="G3485"/>
    </row>
    <row r="3486" spans="1:7" x14ac:dyDescent="0.25">
      <c r="A3486" s="45"/>
      <c r="E3486" s="54"/>
      <c r="F3486"/>
      <c r="G3486"/>
    </row>
    <row r="3487" spans="1:7" x14ac:dyDescent="0.25">
      <c r="A3487" s="45"/>
      <c r="E3487" s="54"/>
      <c r="F3487"/>
      <c r="G3487"/>
    </row>
    <row r="3488" spans="1:7" x14ac:dyDescent="0.25">
      <c r="A3488" s="45"/>
      <c r="E3488" s="54"/>
      <c r="F3488"/>
      <c r="G3488"/>
    </row>
    <row r="3489" spans="1:7" x14ac:dyDescent="0.25">
      <c r="A3489" s="45"/>
      <c r="E3489" s="54"/>
      <c r="F3489"/>
      <c r="G3489"/>
    </row>
    <row r="3490" spans="1:7" x14ac:dyDescent="0.25">
      <c r="A3490" s="45"/>
      <c r="E3490" s="54"/>
      <c r="F3490"/>
      <c r="G3490"/>
    </row>
    <row r="3491" spans="1:7" x14ac:dyDescent="0.25">
      <c r="A3491" s="45"/>
      <c r="E3491" s="54"/>
      <c r="F3491"/>
      <c r="G3491"/>
    </row>
    <row r="3492" spans="1:7" x14ac:dyDescent="0.25">
      <c r="A3492" s="45"/>
      <c r="E3492" s="54"/>
      <c r="F3492"/>
      <c r="G3492"/>
    </row>
    <row r="3493" spans="1:7" x14ac:dyDescent="0.25">
      <c r="A3493" s="45"/>
      <c r="E3493" s="54"/>
      <c r="F3493"/>
      <c r="G3493"/>
    </row>
    <row r="3494" spans="1:7" x14ac:dyDescent="0.25">
      <c r="A3494" s="45"/>
      <c r="E3494" s="54"/>
      <c r="F3494"/>
      <c r="G3494"/>
    </row>
    <row r="3495" spans="1:7" x14ac:dyDescent="0.25">
      <c r="A3495" s="45"/>
      <c r="E3495" s="54"/>
      <c r="F3495"/>
      <c r="G3495"/>
    </row>
    <row r="3496" spans="1:7" x14ac:dyDescent="0.25">
      <c r="A3496" s="45"/>
      <c r="E3496" s="54"/>
      <c r="F3496"/>
      <c r="G3496"/>
    </row>
    <row r="3497" spans="1:7" x14ac:dyDescent="0.25">
      <c r="A3497" s="45"/>
      <c r="E3497" s="54"/>
      <c r="F3497"/>
      <c r="G3497"/>
    </row>
    <row r="3498" spans="1:7" x14ac:dyDescent="0.25">
      <c r="A3498" s="45"/>
      <c r="E3498" s="54"/>
      <c r="F3498"/>
      <c r="G3498"/>
    </row>
    <row r="3499" spans="1:7" x14ac:dyDescent="0.25">
      <c r="A3499" s="45"/>
      <c r="E3499" s="54"/>
      <c r="F3499"/>
      <c r="G3499"/>
    </row>
    <row r="3500" spans="1:7" x14ac:dyDescent="0.25">
      <c r="A3500" s="45"/>
      <c r="E3500" s="54"/>
      <c r="F3500"/>
      <c r="G3500"/>
    </row>
    <row r="3501" spans="1:7" x14ac:dyDescent="0.25">
      <c r="A3501" s="40"/>
      <c r="E3501" s="54"/>
      <c r="G3501"/>
    </row>
    <row r="3502" spans="1:7" x14ac:dyDescent="0.25">
      <c r="A3502" s="40"/>
      <c r="E3502" s="54"/>
      <c r="G3502"/>
    </row>
    <row r="3503" spans="1:7" x14ac:dyDescent="0.25">
      <c r="A3503" s="39"/>
      <c r="E3503" s="54"/>
      <c r="G3503"/>
    </row>
    <row r="3504" spans="1:7" x14ac:dyDescent="0.25">
      <c r="A3504" s="45"/>
      <c r="F3504"/>
      <c r="G3504"/>
    </row>
    <row r="3505" spans="1:7" x14ac:dyDescent="0.25">
      <c r="A3505" s="45"/>
      <c r="F3505"/>
      <c r="G3505"/>
    </row>
    <row r="3506" spans="1:7" x14ac:dyDescent="0.25">
      <c r="A3506" s="45"/>
      <c r="F3506"/>
      <c r="G3506"/>
    </row>
    <row r="3507" spans="1:7" x14ac:dyDescent="0.25">
      <c r="A3507" s="45"/>
      <c r="F3507"/>
      <c r="G3507"/>
    </row>
    <row r="3508" spans="1:7" x14ac:dyDescent="0.25">
      <c r="A3508" s="39"/>
      <c r="E3508" s="54"/>
      <c r="F3508" s="2"/>
      <c r="G3508"/>
    </row>
    <row r="3509" spans="1:7" x14ac:dyDescent="0.25">
      <c r="A3509" s="39"/>
      <c r="E3509" s="54"/>
      <c r="F3509" s="2"/>
      <c r="G3509"/>
    </row>
    <row r="3510" spans="1:7" x14ac:dyDescent="0.25">
      <c r="A3510" s="39"/>
      <c r="E3510" s="54"/>
      <c r="F3510" s="2"/>
      <c r="G3510"/>
    </row>
    <row r="3511" spans="1:7" x14ac:dyDescent="0.25">
      <c r="A3511" s="48"/>
      <c r="E3511" s="54"/>
      <c r="F3511"/>
      <c r="G3511"/>
    </row>
    <row r="3512" spans="1:7" x14ac:dyDescent="0.25">
      <c r="A3512" s="48"/>
      <c r="E3512" s="54"/>
      <c r="F3512"/>
      <c r="G3512"/>
    </row>
    <row r="3513" spans="1:7" x14ac:dyDescent="0.25">
      <c r="A3513" s="39"/>
      <c r="E3513" s="54"/>
      <c r="G3513"/>
    </row>
    <row r="3514" spans="1:7" x14ac:dyDescent="0.25">
      <c r="A3514" s="39"/>
      <c r="E3514" s="54"/>
      <c r="G3514"/>
    </row>
    <row r="3515" spans="1:7" x14ac:dyDescent="0.25">
      <c r="A3515" s="39"/>
      <c r="E3515" s="54"/>
      <c r="F3515" s="31"/>
      <c r="G3515"/>
    </row>
    <row r="3516" spans="1:7" x14ac:dyDescent="0.25">
      <c r="A3516" s="39"/>
      <c r="E3516" s="54"/>
      <c r="G3516"/>
    </row>
    <row r="3517" spans="1:7" x14ac:dyDescent="0.25">
      <c r="A3517" s="39"/>
      <c r="E3517" s="54"/>
      <c r="F3517" s="2"/>
      <c r="G3517"/>
    </row>
    <row r="3518" spans="1:7" x14ac:dyDescent="0.25">
      <c r="A3518" s="39"/>
      <c r="E3518" s="54"/>
      <c r="F3518" s="2"/>
      <c r="G3518"/>
    </row>
    <row r="3519" spans="1:7" x14ac:dyDescent="0.25">
      <c r="A3519" s="39"/>
      <c r="E3519" s="54"/>
      <c r="F3519" s="2"/>
      <c r="G3519"/>
    </row>
    <row r="3520" spans="1:7" x14ac:dyDescent="0.25">
      <c r="A3520" s="39"/>
      <c r="E3520" s="54"/>
      <c r="F3520" s="2"/>
      <c r="G3520"/>
    </row>
    <row r="3521" spans="1:7" x14ac:dyDescent="0.25">
      <c r="A3521" s="39"/>
      <c r="E3521" s="54"/>
      <c r="F3521" s="2"/>
      <c r="G3521"/>
    </row>
    <row r="3522" spans="1:7" x14ac:dyDescent="0.25">
      <c r="A3522" s="39"/>
      <c r="E3522" s="54"/>
      <c r="F3522" s="2"/>
      <c r="G3522"/>
    </row>
    <row r="3523" spans="1:7" x14ac:dyDescent="0.25">
      <c r="A3523" s="39"/>
      <c r="E3523" s="54"/>
      <c r="F3523" s="2"/>
      <c r="G3523"/>
    </row>
    <row r="3524" spans="1:7" x14ac:dyDescent="0.25">
      <c r="A3524" s="39"/>
      <c r="E3524" s="54"/>
      <c r="F3524" s="2"/>
      <c r="G3524"/>
    </row>
    <row r="3525" spans="1:7" x14ac:dyDescent="0.25">
      <c r="A3525" s="40"/>
      <c r="E3525" s="54"/>
      <c r="G3525"/>
    </row>
    <row r="3526" spans="1:7" x14ac:dyDescent="0.25">
      <c r="A3526" s="39"/>
      <c r="E3526" s="54"/>
      <c r="G3526"/>
    </row>
    <row r="3527" spans="1:7" x14ac:dyDescent="0.25">
      <c r="A3527" s="39"/>
      <c r="E3527" s="54"/>
      <c r="G3527"/>
    </row>
    <row r="3528" spans="1:7" x14ac:dyDescent="0.25">
      <c r="E3528" s="54"/>
      <c r="G3528"/>
    </row>
    <row r="3529" spans="1:7" x14ac:dyDescent="0.25">
      <c r="E3529" s="54"/>
      <c r="G3529"/>
    </row>
    <row r="3530" spans="1:7" x14ac:dyDescent="0.25">
      <c r="E3530" s="54"/>
      <c r="G3530"/>
    </row>
    <row r="3531" spans="1:7" x14ac:dyDescent="0.25">
      <c r="A3531" s="39"/>
      <c r="E3531" s="54"/>
      <c r="F3531" s="2"/>
      <c r="G3531"/>
    </row>
    <row r="3532" spans="1:7" x14ac:dyDescent="0.25">
      <c r="A3532" s="39"/>
      <c r="E3532" s="54"/>
      <c r="F3532" s="2"/>
      <c r="G3532"/>
    </row>
    <row r="3533" spans="1:7" x14ac:dyDescent="0.25">
      <c r="A3533" s="39"/>
      <c r="E3533" s="54"/>
      <c r="F3533" s="2"/>
      <c r="G3533"/>
    </row>
    <row r="3534" spans="1:7" x14ac:dyDescent="0.25">
      <c r="A3534" s="39"/>
      <c r="E3534" s="54"/>
      <c r="F3534" s="2"/>
      <c r="G3534"/>
    </row>
    <row r="3535" spans="1:7" x14ac:dyDescent="0.25">
      <c r="E3535" s="54"/>
      <c r="G3535"/>
    </row>
    <row r="3536" spans="1:7" x14ac:dyDescent="0.25">
      <c r="E3536" s="54"/>
      <c r="G3536"/>
    </row>
    <row r="3537" spans="5:7" x14ac:dyDescent="0.25">
      <c r="E3537" s="54"/>
      <c r="G3537"/>
    </row>
    <row r="3538" spans="5:7" x14ac:dyDescent="0.25">
      <c r="E3538" s="54"/>
      <c r="G3538"/>
    </row>
    <row r="3539" spans="5:7" x14ac:dyDescent="0.25">
      <c r="E3539" s="54"/>
      <c r="G3539"/>
    </row>
    <row r="3540" spans="5:7" x14ac:dyDescent="0.25">
      <c r="E3540" s="54"/>
      <c r="G3540"/>
    </row>
    <row r="3541" spans="5:7" x14ac:dyDescent="0.25">
      <c r="E3541" s="54"/>
      <c r="G3541"/>
    </row>
    <row r="3542" spans="5:7" x14ac:dyDescent="0.25">
      <c r="E3542" s="54"/>
      <c r="G3542"/>
    </row>
    <row r="3543" spans="5:7" x14ac:dyDescent="0.25">
      <c r="E3543" s="54"/>
      <c r="G3543"/>
    </row>
    <row r="3544" spans="5:7" x14ac:dyDescent="0.25">
      <c r="E3544" s="54"/>
      <c r="G3544"/>
    </row>
    <row r="3545" spans="5:7" x14ac:dyDescent="0.25">
      <c r="E3545" s="54"/>
      <c r="G3545"/>
    </row>
    <row r="3546" spans="5:7" x14ac:dyDescent="0.25">
      <c r="E3546" s="54"/>
      <c r="G3546"/>
    </row>
    <row r="3547" spans="5:7" x14ac:dyDescent="0.25">
      <c r="E3547" s="54"/>
      <c r="G3547"/>
    </row>
    <row r="3548" spans="5:7" x14ac:dyDescent="0.25">
      <c r="E3548" s="54"/>
      <c r="G3548"/>
    </row>
    <row r="3549" spans="5:7" x14ac:dyDescent="0.25">
      <c r="E3549" s="54"/>
      <c r="G3549"/>
    </row>
    <row r="3550" spans="5:7" x14ac:dyDescent="0.25">
      <c r="E3550" s="54"/>
      <c r="G3550"/>
    </row>
    <row r="3551" spans="5:7" x14ac:dyDescent="0.25">
      <c r="E3551" s="54"/>
      <c r="G3551"/>
    </row>
    <row r="3552" spans="5:7" x14ac:dyDescent="0.25">
      <c r="E3552" s="54"/>
      <c r="G3552"/>
    </row>
    <row r="3553" spans="1:7" x14ac:dyDescent="0.25">
      <c r="E3553" s="54"/>
      <c r="G3553"/>
    </row>
    <row r="3554" spans="1:7" x14ac:dyDescent="0.25">
      <c r="A3554" s="40"/>
      <c r="E3554" s="54"/>
      <c r="F3554" s="2"/>
      <c r="G3554"/>
    </row>
    <row r="3555" spans="1:7" x14ac:dyDescent="0.25">
      <c r="A3555" s="40"/>
      <c r="E3555" s="54"/>
      <c r="F3555" s="2"/>
      <c r="G3555"/>
    </row>
    <row r="3556" spans="1:7" x14ac:dyDescent="0.25">
      <c r="A3556" s="40"/>
      <c r="E3556" s="54"/>
      <c r="F3556" s="2"/>
      <c r="G3556"/>
    </row>
    <row r="3557" spans="1:7" x14ac:dyDescent="0.25">
      <c r="A3557" s="40"/>
      <c r="E3557" s="54"/>
      <c r="F3557" s="2"/>
      <c r="G3557"/>
    </row>
    <row r="3558" spans="1:7" x14ac:dyDescent="0.25">
      <c r="A3558" s="39"/>
      <c r="E3558" s="54"/>
      <c r="F3558" s="2"/>
      <c r="G3558"/>
    </row>
    <row r="3559" spans="1:7" x14ac:dyDescent="0.25">
      <c r="E3559" s="54"/>
      <c r="G3559"/>
    </row>
    <row r="3560" spans="1:7" x14ac:dyDescent="0.25">
      <c r="E3560" s="54"/>
      <c r="G3560"/>
    </row>
    <row r="3561" spans="1:7" x14ac:dyDescent="0.25">
      <c r="E3561" s="54"/>
      <c r="G3561"/>
    </row>
    <row r="3562" spans="1:7" x14ac:dyDescent="0.25">
      <c r="E3562" s="54"/>
      <c r="G3562"/>
    </row>
    <row r="3563" spans="1:7" x14ac:dyDescent="0.25">
      <c r="E3563" s="54"/>
      <c r="G3563"/>
    </row>
    <row r="3564" spans="1:7" x14ac:dyDescent="0.25">
      <c r="A3564" s="48"/>
      <c r="E3564" s="54"/>
      <c r="F3564"/>
      <c r="G3564"/>
    </row>
    <row r="3565" spans="1:7" x14ac:dyDescent="0.25">
      <c r="E3565" s="54"/>
      <c r="G3565"/>
    </row>
    <row r="3566" spans="1:7" x14ac:dyDescent="0.25">
      <c r="E3566" s="54"/>
      <c r="G3566"/>
    </row>
    <row r="3567" spans="1:7" x14ac:dyDescent="0.25">
      <c r="A3567" s="48"/>
      <c r="E3567" s="54"/>
      <c r="F3567"/>
      <c r="G3567"/>
    </row>
    <row r="3568" spans="1:7" x14ac:dyDescent="0.25">
      <c r="E3568" s="54"/>
      <c r="G3568"/>
    </row>
    <row r="3569" spans="1:7" x14ac:dyDescent="0.25">
      <c r="E3569" s="54"/>
      <c r="G3569"/>
    </row>
    <row r="3570" spans="1:7" x14ac:dyDescent="0.25">
      <c r="A3570" s="48"/>
      <c r="E3570" s="54"/>
      <c r="F3570"/>
      <c r="G3570"/>
    </row>
    <row r="3571" spans="1:7" x14ac:dyDescent="0.25">
      <c r="E3571" s="54"/>
      <c r="G3571"/>
    </row>
    <row r="3572" spans="1:7" x14ac:dyDescent="0.25">
      <c r="E3572" s="54"/>
      <c r="G3572"/>
    </row>
    <row r="3573" spans="1:7" x14ac:dyDescent="0.25">
      <c r="E3573" s="54"/>
      <c r="G3573"/>
    </row>
    <row r="3574" spans="1:7" x14ac:dyDescent="0.25">
      <c r="E3574" s="54"/>
      <c r="G3574"/>
    </row>
    <row r="3575" spans="1:7" x14ac:dyDescent="0.25">
      <c r="A3575" s="48"/>
      <c r="E3575" s="54"/>
      <c r="F3575"/>
      <c r="G3575"/>
    </row>
    <row r="3576" spans="1:7" x14ac:dyDescent="0.25">
      <c r="A3576" s="48"/>
      <c r="E3576" s="54"/>
      <c r="F3576"/>
      <c r="G3576"/>
    </row>
    <row r="3577" spans="1:7" x14ac:dyDescent="0.25">
      <c r="A3577" s="48"/>
      <c r="E3577" s="54"/>
      <c r="F3577"/>
      <c r="G3577"/>
    </row>
    <row r="3578" spans="1:7" x14ac:dyDescent="0.25">
      <c r="A3578" s="48"/>
      <c r="E3578" s="54"/>
      <c r="F3578"/>
      <c r="G3578"/>
    </row>
    <row r="3579" spans="1:7" x14ac:dyDescent="0.25">
      <c r="A3579" s="48"/>
      <c r="E3579" s="54"/>
      <c r="F3579"/>
      <c r="G3579"/>
    </row>
    <row r="3580" spans="1:7" x14ac:dyDescent="0.25">
      <c r="A3580" s="48"/>
      <c r="E3580" s="54"/>
      <c r="F3580"/>
      <c r="G3580"/>
    </row>
    <row r="3581" spans="1:7" x14ac:dyDescent="0.25">
      <c r="A3581" s="42"/>
      <c r="E3581" s="54"/>
      <c r="F3581" s="2"/>
      <c r="G3581"/>
    </row>
    <row r="3582" spans="1:7" x14ac:dyDescent="0.25">
      <c r="A3582" s="42"/>
      <c r="E3582" s="54"/>
      <c r="F3582" s="2"/>
      <c r="G3582"/>
    </row>
    <row r="3583" spans="1:7" x14ac:dyDescent="0.25">
      <c r="A3583" s="42"/>
      <c r="E3583" s="54"/>
      <c r="F3583" s="2"/>
      <c r="G3583"/>
    </row>
    <row r="3584" spans="1:7" x14ac:dyDescent="0.25">
      <c r="A3584" s="42"/>
      <c r="E3584" s="54"/>
      <c r="F3584" s="2"/>
      <c r="G3584"/>
    </row>
    <row r="3585" spans="1:7" x14ac:dyDescent="0.25">
      <c r="A3585" s="42"/>
      <c r="E3585" s="54"/>
      <c r="F3585" s="2"/>
      <c r="G3585"/>
    </row>
    <row r="3586" spans="1:7" x14ac:dyDescent="0.25">
      <c r="A3586" s="42"/>
      <c r="E3586" s="54"/>
      <c r="F3586" s="2"/>
      <c r="G3586"/>
    </row>
    <row r="3587" spans="1:7" x14ac:dyDescent="0.25">
      <c r="A3587" s="42"/>
      <c r="E3587" s="54"/>
      <c r="F3587" s="2"/>
      <c r="G3587"/>
    </row>
    <row r="3588" spans="1:7" x14ac:dyDescent="0.25">
      <c r="A3588" s="42"/>
      <c r="E3588" s="54"/>
      <c r="F3588" s="2"/>
      <c r="G3588"/>
    </row>
    <row r="3589" spans="1:7" x14ac:dyDescent="0.25">
      <c r="A3589" s="42"/>
      <c r="E3589" s="54"/>
      <c r="F3589" s="2"/>
      <c r="G3589"/>
    </row>
    <row r="3590" spans="1:7" x14ac:dyDescent="0.25">
      <c r="A3590" s="42"/>
      <c r="E3590" s="54"/>
      <c r="F3590" s="2"/>
      <c r="G3590"/>
    </row>
    <row r="3591" spans="1:7" x14ac:dyDescent="0.25">
      <c r="A3591" s="42"/>
      <c r="E3591" s="54"/>
      <c r="F3591" s="2"/>
      <c r="G3591"/>
    </row>
    <row r="3592" spans="1:7" x14ac:dyDescent="0.25">
      <c r="E3592" s="54"/>
      <c r="G3592"/>
    </row>
    <row r="3593" spans="1:7" x14ac:dyDescent="0.25">
      <c r="A3593" s="48"/>
      <c r="E3593" s="54"/>
      <c r="F3593"/>
      <c r="G3593"/>
    </row>
    <row r="3594" spans="1:7" x14ac:dyDescent="0.25">
      <c r="A3594" s="48"/>
      <c r="E3594" s="54"/>
      <c r="F3594"/>
      <c r="G3594"/>
    </row>
    <row r="3595" spans="1:7" x14ac:dyDescent="0.25">
      <c r="A3595" s="39"/>
      <c r="E3595" s="54"/>
      <c r="F3595" s="2"/>
      <c r="G3595"/>
    </row>
    <row r="3596" spans="1:7" x14ac:dyDescent="0.25">
      <c r="E3596" s="54"/>
      <c r="G3596"/>
    </row>
    <row r="3597" spans="1:7" x14ac:dyDescent="0.25">
      <c r="E3597" s="54"/>
      <c r="G3597"/>
    </row>
    <row r="3598" spans="1:7" x14ac:dyDescent="0.25">
      <c r="E3598" s="54"/>
      <c r="G3598"/>
    </row>
    <row r="3599" spans="1:7" x14ac:dyDescent="0.25">
      <c r="E3599" s="54"/>
      <c r="G3599"/>
    </row>
    <row r="3600" spans="1:7" x14ac:dyDescent="0.25">
      <c r="E3600" s="54"/>
      <c r="G3600"/>
    </row>
    <row r="3601" spans="1:7" x14ac:dyDescent="0.25">
      <c r="E3601" s="54"/>
      <c r="G3601"/>
    </row>
    <row r="3602" spans="1:7" x14ac:dyDescent="0.25">
      <c r="E3602" s="54"/>
      <c r="G3602"/>
    </row>
    <row r="3603" spans="1:7" x14ac:dyDescent="0.25">
      <c r="E3603" s="54"/>
      <c r="G3603"/>
    </row>
    <row r="3604" spans="1:7" x14ac:dyDescent="0.25">
      <c r="E3604" s="54"/>
      <c r="G3604"/>
    </row>
    <row r="3605" spans="1:7" x14ac:dyDescent="0.25">
      <c r="E3605" s="54"/>
      <c r="G3605"/>
    </row>
    <row r="3606" spans="1:7" x14ac:dyDescent="0.25">
      <c r="E3606" s="54"/>
      <c r="G3606"/>
    </row>
    <row r="3607" spans="1:7" x14ac:dyDescent="0.25">
      <c r="E3607" s="54"/>
      <c r="G3607"/>
    </row>
    <row r="3608" spans="1:7" x14ac:dyDescent="0.25">
      <c r="E3608" s="54"/>
      <c r="G3608"/>
    </row>
    <row r="3609" spans="1:7" x14ac:dyDescent="0.25">
      <c r="A3609" s="48"/>
      <c r="E3609" s="54"/>
      <c r="F3609"/>
      <c r="G3609"/>
    </row>
    <row r="3610" spans="1:7" x14ac:dyDescent="0.25">
      <c r="A3610" s="48"/>
      <c r="E3610" s="54"/>
      <c r="F3610"/>
      <c r="G3610"/>
    </row>
    <row r="3611" spans="1:7" x14ac:dyDescent="0.25">
      <c r="E3611" s="54"/>
      <c r="G3611"/>
    </row>
    <row r="3612" spans="1:7" x14ac:dyDescent="0.25">
      <c r="E3612" s="54"/>
      <c r="G3612"/>
    </row>
    <row r="3613" spans="1:7" x14ac:dyDescent="0.25">
      <c r="A3613" s="40"/>
      <c r="E3613" s="54"/>
      <c r="F3613" s="2"/>
      <c r="G3613"/>
    </row>
    <row r="3614" spans="1:7" x14ac:dyDescent="0.25">
      <c r="A3614" s="40"/>
      <c r="E3614" s="54"/>
      <c r="F3614" s="2"/>
      <c r="G3614"/>
    </row>
    <row r="3615" spans="1:7" x14ac:dyDescent="0.25">
      <c r="A3615" s="40"/>
      <c r="E3615" s="54"/>
      <c r="F3615" s="2"/>
      <c r="G3615"/>
    </row>
    <row r="3616" spans="1:7" x14ac:dyDescent="0.25">
      <c r="A3616" s="40"/>
      <c r="E3616" s="54"/>
      <c r="F3616" s="2"/>
      <c r="G3616"/>
    </row>
    <row r="3617" spans="1:7" x14ac:dyDescent="0.25">
      <c r="A3617" s="40"/>
      <c r="E3617" s="54"/>
      <c r="F3617" s="2"/>
      <c r="G3617"/>
    </row>
    <row r="3618" spans="1:7" x14ac:dyDescent="0.25">
      <c r="A3618" s="40"/>
      <c r="E3618" s="54"/>
      <c r="F3618" s="2"/>
      <c r="G3618"/>
    </row>
    <row r="3619" spans="1:7" x14ac:dyDescent="0.25">
      <c r="A3619" s="40"/>
      <c r="E3619" s="54"/>
      <c r="F3619" s="2"/>
      <c r="G3619"/>
    </row>
    <row r="3620" spans="1:7" x14ac:dyDescent="0.25">
      <c r="A3620" s="40"/>
      <c r="E3620" s="54"/>
      <c r="F3620" s="2"/>
      <c r="G3620"/>
    </row>
    <row r="3621" spans="1:7" x14ac:dyDescent="0.25">
      <c r="A3621" s="40"/>
      <c r="E3621" s="54"/>
      <c r="F3621" s="2"/>
      <c r="G3621"/>
    </row>
    <row r="3622" spans="1:7" x14ac:dyDescent="0.25">
      <c r="A3622" s="40"/>
      <c r="E3622" s="54"/>
      <c r="F3622" s="2"/>
      <c r="G3622"/>
    </row>
    <row r="3623" spans="1:7" x14ac:dyDescent="0.25">
      <c r="A3623" s="40"/>
      <c r="E3623" s="54"/>
      <c r="F3623" s="2"/>
      <c r="G3623"/>
    </row>
    <row r="3624" spans="1:7" x14ac:dyDescent="0.25">
      <c r="A3624" s="40"/>
      <c r="E3624" s="54"/>
      <c r="F3624" s="2"/>
      <c r="G3624"/>
    </row>
    <row r="3625" spans="1:7" x14ac:dyDescent="0.25">
      <c r="A3625" s="40"/>
      <c r="E3625" s="54"/>
      <c r="F3625" s="2"/>
      <c r="G3625"/>
    </row>
    <row r="3626" spans="1:7" x14ac:dyDescent="0.25">
      <c r="A3626" s="40"/>
      <c r="E3626" s="54"/>
      <c r="F3626" s="2"/>
      <c r="G3626"/>
    </row>
    <row r="3627" spans="1:7" x14ac:dyDescent="0.25">
      <c r="A3627" s="40"/>
      <c r="E3627" s="54"/>
      <c r="F3627" s="2"/>
      <c r="G3627"/>
    </row>
    <row r="3628" spans="1:7" x14ac:dyDescent="0.25">
      <c r="A3628" s="40"/>
      <c r="E3628" s="54"/>
      <c r="F3628" s="2"/>
      <c r="G3628"/>
    </row>
    <row r="3629" spans="1:7" x14ac:dyDescent="0.25">
      <c r="A3629" s="40"/>
      <c r="E3629" s="54"/>
      <c r="F3629" s="2"/>
      <c r="G3629"/>
    </row>
    <row r="3630" spans="1:7" x14ac:dyDescent="0.25">
      <c r="A3630" s="40"/>
      <c r="E3630" s="54"/>
      <c r="F3630" s="2"/>
      <c r="G3630"/>
    </row>
    <row r="3631" spans="1:7" x14ac:dyDescent="0.25">
      <c r="A3631" s="40"/>
      <c r="E3631" s="54"/>
      <c r="F3631" s="2"/>
      <c r="G3631"/>
    </row>
    <row r="3632" spans="1:7" x14ac:dyDescent="0.25">
      <c r="A3632" s="40"/>
      <c r="E3632" s="54"/>
      <c r="F3632" s="2"/>
      <c r="G3632"/>
    </row>
    <row r="3633" spans="1:7" x14ac:dyDescent="0.25">
      <c r="A3633" s="40"/>
      <c r="E3633" s="54"/>
      <c r="F3633" s="2"/>
      <c r="G3633"/>
    </row>
    <row r="3634" spans="1:7" x14ac:dyDescent="0.25">
      <c r="A3634" s="40"/>
      <c r="E3634" s="54"/>
      <c r="F3634" s="2"/>
      <c r="G3634"/>
    </row>
    <row r="3635" spans="1:7" x14ac:dyDescent="0.25">
      <c r="A3635" s="40"/>
      <c r="E3635" s="54"/>
      <c r="F3635" s="2"/>
      <c r="G3635"/>
    </row>
    <row r="3636" spans="1:7" x14ac:dyDescent="0.25">
      <c r="A3636" s="40"/>
      <c r="E3636" s="54"/>
      <c r="F3636" s="2"/>
      <c r="G3636"/>
    </row>
    <row r="3637" spans="1:7" x14ac:dyDescent="0.25">
      <c r="A3637" s="40"/>
      <c r="E3637" s="54"/>
      <c r="F3637" s="2"/>
      <c r="G3637"/>
    </row>
    <row r="3638" spans="1:7" x14ac:dyDescent="0.25">
      <c r="A3638" s="40"/>
      <c r="E3638" s="54"/>
      <c r="F3638" s="2"/>
      <c r="G3638"/>
    </row>
    <row r="3639" spans="1:7" x14ac:dyDescent="0.25">
      <c r="A3639" s="40"/>
      <c r="E3639" s="54"/>
      <c r="F3639" s="2"/>
      <c r="G3639"/>
    </row>
    <row r="3640" spans="1:7" x14ac:dyDescent="0.25">
      <c r="A3640" s="40"/>
      <c r="E3640" s="54"/>
      <c r="F3640" s="2"/>
      <c r="G3640"/>
    </row>
    <row r="3641" spans="1:7" x14ac:dyDescent="0.25">
      <c r="E3641" s="54"/>
      <c r="G3641"/>
    </row>
    <row r="3642" spans="1:7" x14ac:dyDescent="0.25">
      <c r="E3642" s="54"/>
      <c r="G3642"/>
    </row>
    <row r="3643" spans="1:7" x14ac:dyDescent="0.25">
      <c r="E3643" s="54"/>
      <c r="G3643"/>
    </row>
    <row r="3644" spans="1:7" x14ac:dyDescent="0.25">
      <c r="E3644" s="54"/>
      <c r="G3644"/>
    </row>
    <row r="3645" spans="1:7" x14ac:dyDescent="0.25">
      <c r="E3645" s="54"/>
      <c r="G3645"/>
    </row>
    <row r="3646" spans="1:7" x14ac:dyDescent="0.25">
      <c r="E3646" s="54"/>
      <c r="G3646"/>
    </row>
    <row r="3647" spans="1:7" x14ac:dyDescent="0.25">
      <c r="E3647" s="54"/>
      <c r="G3647"/>
    </row>
    <row r="3648" spans="1:7" x14ac:dyDescent="0.25">
      <c r="E3648" s="54"/>
      <c r="G3648"/>
    </row>
    <row r="3649" spans="1:7" x14ac:dyDescent="0.25">
      <c r="E3649" s="54"/>
      <c r="G3649"/>
    </row>
    <row r="3650" spans="1:7" x14ac:dyDescent="0.25">
      <c r="E3650" s="54"/>
      <c r="G3650"/>
    </row>
    <row r="3651" spans="1:7" x14ac:dyDescent="0.25">
      <c r="E3651" s="54"/>
      <c r="G3651"/>
    </row>
    <row r="3652" spans="1:7" x14ac:dyDescent="0.25">
      <c r="E3652" s="54"/>
      <c r="G3652"/>
    </row>
    <row r="3653" spans="1:7" x14ac:dyDescent="0.25">
      <c r="E3653" s="54"/>
      <c r="G3653"/>
    </row>
    <row r="3654" spans="1:7" x14ac:dyDescent="0.25">
      <c r="E3654" s="54"/>
      <c r="G3654"/>
    </row>
    <row r="3655" spans="1:7" x14ac:dyDescent="0.25">
      <c r="A3655" s="48"/>
      <c r="E3655" s="54"/>
      <c r="F3655"/>
      <c r="G3655"/>
    </row>
    <row r="3656" spans="1:7" x14ac:dyDescent="0.25">
      <c r="A3656" s="48"/>
      <c r="E3656" s="54"/>
      <c r="F3656"/>
      <c r="G3656"/>
    </row>
    <row r="3657" spans="1:7" x14ac:dyDescent="0.25">
      <c r="A3657" s="48"/>
      <c r="E3657" s="54"/>
      <c r="F3657"/>
      <c r="G3657"/>
    </row>
    <row r="3658" spans="1:7" x14ac:dyDescent="0.25">
      <c r="A3658" s="48"/>
      <c r="E3658" s="54"/>
      <c r="F3658"/>
      <c r="G3658"/>
    </row>
    <row r="3659" spans="1:7" x14ac:dyDescent="0.25">
      <c r="A3659" s="48"/>
      <c r="E3659" s="54"/>
      <c r="F3659"/>
      <c r="G3659"/>
    </row>
    <row r="3660" spans="1:7" x14ac:dyDescent="0.25">
      <c r="A3660" s="48"/>
      <c r="E3660" s="54"/>
      <c r="F3660"/>
      <c r="G3660"/>
    </row>
    <row r="3661" spans="1:7" x14ac:dyDescent="0.25">
      <c r="A3661" s="48"/>
      <c r="E3661" s="54"/>
      <c r="F3661"/>
      <c r="G3661"/>
    </row>
    <row r="3662" spans="1:7" x14ac:dyDescent="0.25">
      <c r="A3662" s="48"/>
      <c r="E3662" s="54"/>
      <c r="F3662"/>
      <c r="G3662"/>
    </row>
    <row r="3663" spans="1:7" x14ac:dyDescent="0.25">
      <c r="A3663" s="48"/>
      <c r="E3663" s="54"/>
      <c r="F3663"/>
      <c r="G3663"/>
    </row>
    <row r="3664" spans="1:7" x14ac:dyDescent="0.25">
      <c r="A3664" s="48"/>
      <c r="E3664" s="54"/>
      <c r="F3664"/>
      <c r="G3664"/>
    </row>
    <row r="3665" spans="1:7" x14ac:dyDescent="0.25">
      <c r="A3665" s="48"/>
      <c r="E3665" s="54"/>
      <c r="F3665"/>
      <c r="G3665"/>
    </row>
    <row r="3666" spans="1:7" x14ac:dyDescent="0.25">
      <c r="A3666" s="40"/>
      <c r="E3666" s="54"/>
      <c r="F3666" s="2"/>
      <c r="G3666"/>
    </row>
    <row r="3667" spans="1:7" x14ac:dyDescent="0.25">
      <c r="A3667" s="40"/>
      <c r="E3667" s="54"/>
      <c r="F3667" s="2"/>
      <c r="G3667"/>
    </row>
    <row r="3668" spans="1:7" x14ac:dyDescent="0.25">
      <c r="A3668" s="40"/>
      <c r="E3668" s="54"/>
      <c r="F3668" s="2"/>
      <c r="G3668"/>
    </row>
    <row r="3669" spans="1:7" x14ac:dyDescent="0.25">
      <c r="A3669" s="40"/>
      <c r="E3669" s="54"/>
      <c r="F3669" s="2"/>
      <c r="G3669"/>
    </row>
    <row r="3670" spans="1:7" x14ac:dyDescent="0.25">
      <c r="A3670" s="40"/>
      <c r="E3670" s="54"/>
      <c r="F3670" s="2"/>
      <c r="G3670"/>
    </row>
    <row r="3671" spans="1:7" x14ac:dyDescent="0.25">
      <c r="A3671" s="40"/>
      <c r="E3671" s="54"/>
      <c r="F3671" s="2"/>
      <c r="G3671"/>
    </row>
    <row r="3672" spans="1:7" x14ac:dyDescent="0.25">
      <c r="A3672" s="40"/>
      <c r="E3672" s="54"/>
      <c r="F3672" s="2"/>
      <c r="G3672"/>
    </row>
    <row r="3673" spans="1:7" x14ac:dyDescent="0.25">
      <c r="A3673" s="40"/>
      <c r="E3673" s="54"/>
      <c r="F3673" s="2"/>
      <c r="G3673"/>
    </row>
    <row r="3674" spans="1:7" x14ac:dyDescent="0.25">
      <c r="A3674" s="40"/>
      <c r="E3674" s="54"/>
      <c r="F3674" s="2"/>
      <c r="G3674"/>
    </row>
    <row r="3675" spans="1:7" x14ac:dyDescent="0.25">
      <c r="A3675" s="40"/>
      <c r="E3675" s="54"/>
      <c r="F3675" s="2"/>
      <c r="G3675"/>
    </row>
    <row r="3676" spans="1:7" x14ac:dyDescent="0.25">
      <c r="A3676" s="40"/>
      <c r="E3676" s="54"/>
      <c r="F3676" s="2"/>
      <c r="G3676"/>
    </row>
    <row r="3677" spans="1:7" x14ac:dyDescent="0.25">
      <c r="A3677" s="40"/>
      <c r="E3677" s="54"/>
      <c r="F3677" s="2"/>
      <c r="G3677"/>
    </row>
    <row r="3678" spans="1:7" x14ac:dyDescent="0.25">
      <c r="A3678" s="40"/>
      <c r="E3678" s="54"/>
      <c r="F3678" s="2"/>
      <c r="G3678"/>
    </row>
    <row r="3679" spans="1:7" x14ac:dyDescent="0.25">
      <c r="A3679" s="40"/>
      <c r="E3679" s="54"/>
      <c r="F3679" s="2"/>
      <c r="G3679"/>
    </row>
    <row r="3680" spans="1:7" x14ac:dyDescent="0.25">
      <c r="A3680" s="40"/>
      <c r="E3680" s="54"/>
      <c r="F3680" s="2"/>
      <c r="G3680"/>
    </row>
    <row r="3681" spans="1:7" x14ac:dyDescent="0.25">
      <c r="A3681" s="40"/>
      <c r="E3681" s="54"/>
      <c r="F3681" s="2"/>
      <c r="G3681"/>
    </row>
    <row r="3682" spans="1:7" x14ac:dyDescent="0.25">
      <c r="A3682" s="40"/>
      <c r="E3682" s="54"/>
      <c r="F3682" s="2"/>
      <c r="G3682"/>
    </row>
    <row r="3683" spans="1:7" x14ac:dyDescent="0.25">
      <c r="A3683" s="40"/>
      <c r="E3683" s="54"/>
      <c r="F3683" s="2"/>
      <c r="G3683"/>
    </row>
    <row r="3684" spans="1:7" x14ac:dyDescent="0.25">
      <c r="A3684" s="40"/>
      <c r="E3684" s="54"/>
      <c r="F3684" s="2"/>
      <c r="G3684"/>
    </row>
    <row r="3685" spans="1:7" x14ac:dyDescent="0.25">
      <c r="A3685" s="40"/>
      <c r="E3685" s="54"/>
      <c r="F3685" s="2"/>
      <c r="G3685"/>
    </row>
    <row r="3686" spans="1:7" x14ac:dyDescent="0.25">
      <c r="A3686" s="40"/>
      <c r="E3686" s="54"/>
      <c r="F3686" s="2"/>
      <c r="G3686"/>
    </row>
    <row r="3687" spans="1:7" x14ac:dyDescent="0.25">
      <c r="A3687" s="40"/>
      <c r="E3687" s="54"/>
      <c r="F3687" s="2"/>
      <c r="G3687"/>
    </row>
    <row r="3688" spans="1:7" x14ac:dyDescent="0.25">
      <c r="A3688" s="40"/>
      <c r="E3688" s="54"/>
      <c r="F3688" s="2"/>
      <c r="G3688"/>
    </row>
    <row r="3689" spans="1:7" x14ac:dyDescent="0.25">
      <c r="A3689" s="40"/>
      <c r="E3689" s="54"/>
      <c r="F3689" s="2"/>
      <c r="G3689"/>
    </row>
    <row r="3690" spans="1:7" x14ac:dyDescent="0.25">
      <c r="A3690" s="40"/>
      <c r="E3690" s="54"/>
      <c r="F3690" s="2"/>
      <c r="G3690"/>
    </row>
    <row r="3691" spans="1:7" x14ac:dyDescent="0.25">
      <c r="A3691" s="48"/>
      <c r="E3691" s="54"/>
      <c r="F3691"/>
      <c r="G3691"/>
    </row>
    <row r="3692" spans="1:7" x14ac:dyDescent="0.25">
      <c r="A3692" s="48"/>
      <c r="E3692" s="54"/>
      <c r="F3692"/>
      <c r="G3692"/>
    </row>
    <row r="3693" spans="1:7" x14ac:dyDescent="0.25">
      <c r="A3693" s="48"/>
      <c r="E3693" s="54"/>
      <c r="F3693"/>
      <c r="G3693"/>
    </row>
    <row r="3694" spans="1:7" x14ac:dyDescent="0.25">
      <c r="A3694" s="48"/>
      <c r="E3694" s="54"/>
      <c r="F3694"/>
      <c r="G3694"/>
    </row>
    <row r="3695" spans="1:7" x14ac:dyDescent="0.25">
      <c r="A3695" s="48"/>
      <c r="E3695" s="54"/>
      <c r="F3695"/>
      <c r="G3695"/>
    </row>
    <row r="3696" spans="1:7" x14ac:dyDescent="0.25">
      <c r="A3696" s="48"/>
      <c r="E3696" s="54"/>
      <c r="F3696"/>
      <c r="G3696"/>
    </row>
    <row r="3697" spans="1:7" x14ac:dyDescent="0.25">
      <c r="A3697" s="48"/>
      <c r="E3697" s="54"/>
      <c r="F3697"/>
      <c r="G3697"/>
    </row>
    <row r="3698" spans="1:7" x14ac:dyDescent="0.25">
      <c r="A3698" s="48"/>
      <c r="E3698" s="54"/>
      <c r="F3698"/>
      <c r="G3698"/>
    </row>
    <row r="3699" spans="1:7" x14ac:dyDescent="0.25">
      <c r="A3699" s="48"/>
      <c r="E3699" s="54"/>
      <c r="F3699"/>
      <c r="G3699"/>
    </row>
    <row r="3700" spans="1:7" x14ac:dyDescent="0.25">
      <c r="A3700" s="48"/>
      <c r="E3700" s="54"/>
      <c r="F3700"/>
      <c r="G3700"/>
    </row>
    <row r="3701" spans="1:7" x14ac:dyDescent="0.25">
      <c r="A3701" s="48"/>
      <c r="E3701" s="54"/>
      <c r="F3701"/>
      <c r="G3701"/>
    </row>
    <row r="3702" spans="1:7" x14ac:dyDescent="0.25">
      <c r="A3702" s="48"/>
      <c r="E3702" s="54"/>
      <c r="F3702"/>
      <c r="G3702"/>
    </row>
    <row r="3703" spans="1:7" x14ac:dyDescent="0.25">
      <c r="A3703" s="48"/>
      <c r="E3703" s="54"/>
      <c r="F3703"/>
      <c r="G3703"/>
    </row>
    <row r="3704" spans="1:7" x14ac:dyDescent="0.25">
      <c r="A3704" s="48"/>
      <c r="E3704" s="54"/>
      <c r="F3704"/>
      <c r="G3704"/>
    </row>
    <row r="3705" spans="1:7" x14ac:dyDescent="0.25">
      <c r="A3705" s="48"/>
      <c r="E3705" s="54"/>
      <c r="F3705"/>
      <c r="G3705"/>
    </row>
    <row r="3706" spans="1:7" x14ac:dyDescent="0.25">
      <c r="A3706" s="48"/>
      <c r="E3706" s="54"/>
      <c r="F3706"/>
      <c r="G3706"/>
    </row>
    <row r="3707" spans="1:7" x14ac:dyDescent="0.25">
      <c r="A3707" s="48"/>
      <c r="E3707" s="54"/>
      <c r="F3707"/>
      <c r="G3707"/>
    </row>
    <row r="3708" spans="1:7" x14ac:dyDescent="0.25">
      <c r="A3708" s="48"/>
      <c r="E3708" s="54"/>
      <c r="F3708"/>
      <c r="G3708"/>
    </row>
    <row r="3709" spans="1:7" x14ac:dyDescent="0.25">
      <c r="A3709" s="48"/>
      <c r="E3709" s="54"/>
      <c r="F3709"/>
      <c r="G3709"/>
    </row>
    <row r="3710" spans="1:7" x14ac:dyDescent="0.25">
      <c r="A3710" s="48"/>
      <c r="E3710" s="54"/>
      <c r="F3710"/>
      <c r="G3710"/>
    </row>
    <row r="3711" spans="1:7" x14ac:dyDescent="0.25">
      <c r="A3711" s="48"/>
      <c r="E3711" s="54"/>
      <c r="F3711"/>
      <c r="G3711"/>
    </row>
    <row r="3712" spans="1:7" x14ac:dyDescent="0.25">
      <c r="A3712" s="48"/>
      <c r="E3712" s="54"/>
      <c r="F3712"/>
      <c r="G3712"/>
    </row>
    <row r="3713" spans="1:7" x14ac:dyDescent="0.25">
      <c r="A3713" s="48"/>
      <c r="E3713" s="54"/>
      <c r="F3713"/>
      <c r="G3713"/>
    </row>
    <row r="3714" spans="1:7" x14ac:dyDescent="0.25">
      <c r="A3714" s="48"/>
      <c r="E3714" s="54"/>
      <c r="F3714"/>
      <c r="G3714"/>
    </row>
    <row r="3715" spans="1:7" x14ac:dyDescent="0.25">
      <c r="A3715" s="48"/>
      <c r="E3715" s="54"/>
      <c r="F3715"/>
      <c r="G3715"/>
    </row>
    <row r="3716" spans="1:7" x14ac:dyDescent="0.25">
      <c r="A3716" s="48"/>
      <c r="E3716" s="54"/>
      <c r="F3716"/>
      <c r="G3716"/>
    </row>
    <row r="3717" spans="1:7" x14ac:dyDescent="0.25">
      <c r="A3717" s="48"/>
      <c r="E3717" s="54"/>
      <c r="F3717"/>
      <c r="G3717"/>
    </row>
    <row r="3718" spans="1:7" x14ac:dyDescent="0.25">
      <c r="A3718" s="48"/>
      <c r="E3718" s="54"/>
      <c r="F3718"/>
      <c r="G3718"/>
    </row>
    <row r="3719" spans="1:7" x14ac:dyDescent="0.25">
      <c r="A3719" s="48"/>
      <c r="E3719" s="54"/>
      <c r="F3719"/>
      <c r="G3719"/>
    </row>
    <row r="3720" spans="1:7" x14ac:dyDescent="0.25">
      <c r="A3720" s="48"/>
      <c r="E3720" s="54"/>
      <c r="F3720"/>
      <c r="G3720"/>
    </row>
    <row r="3721" spans="1:7" x14ac:dyDescent="0.25">
      <c r="A3721" s="48"/>
      <c r="E3721" s="54"/>
      <c r="F3721"/>
      <c r="G3721"/>
    </row>
    <row r="3722" spans="1:7" x14ac:dyDescent="0.25">
      <c r="A3722" s="48"/>
      <c r="E3722" s="54"/>
      <c r="F3722"/>
      <c r="G3722"/>
    </row>
    <row r="3723" spans="1:7" x14ac:dyDescent="0.25">
      <c r="A3723" s="48"/>
      <c r="E3723" s="54"/>
      <c r="F3723"/>
      <c r="G3723"/>
    </row>
    <row r="3724" spans="1:7" x14ac:dyDescent="0.25">
      <c r="A3724" s="48"/>
      <c r="E3724" s="54"/>
      <c r="F3724"/>
      <c r="G3724"/>
    </row>
    <row r="3725" spans="1:7" x14ac:dyDescent="0.25">
      <c r="A3725" s="48"/>
      <c r="E3725" s="54"/>
      <c r="F3725"/>
      <c r="G3725"/>
    </row>
    <row r="3726" spans="1:7" x14ac:dyDescent="0.25">
      <c r="A3726" s="48"/>
      <c r="E3726" s="54"/>
      <c r="F3726"/>
      <c r="G3726"/>
    </row>
    <row r="3727" spans="1:7" x14ac:dyDescent="0.25">
      <c r="A3727" s="48"/>
      <c r="E3727" s="54"/>
      <c r="F3727"/>
      <c r="G3727"/>
    </row>
    <row r="3728" spans="1:7" x14ac:dyDescent="0.25">
      <c r="A3728" s="48"/>
      <c r="E3728" s="54"/>
      <c r="F3728"/>
      <c r="G3728"/>
    </row>
    <row r="3729" spans="1:7" x14ac:dyDescent="0.25">
      <c r="A3729" s="48"/>
      <c r="E3729" s="54"/>
      <c r="F3729"/>
      <c r="G3729"/>
    </row>
    <row r="3730" spans="1:7" x14ac:dyDescent="0.25">
      <c r="A3730" s="48"/>
      <c r="E3730" s="54"/>
      <c r="F3730"/>
      <c r="G3730"/>
    </row>
    <row r="3731" spans="1:7" x14ac:dyDescent="0.25">
      <c r="A3731" s="48"/>
      <c r="E3731" s="54"/>
      <c r="F3731"/>
      <c r="G3731"/>
    </row>
    <row r="3732" spans="1:7" x14ac:dyDescent="0.25">
      <c r="A3732" s="48"/>
      <c r="E3732" s="54"/>
      <c r="F3732"/>
      <c r="G3732"/>
    </row>
    <row r="3733" spans="1:7" x14ac:dyDescent="0.25">
      <c r="A3733" s="48"/>
      <c r="E3733" s="54"/>
      <c r="F3733"/>
      <c r="G3733"/>
    </row>
    <row r="3734" spans="1:7" x14ac:dyDescent="0.25">
      <c r="A3734" s="48"/>
      <c r="E3734" s="54"/>
      <c r="F3734"/>
      <c r="G3734"/>
    </row>
    <row r="3735" spans="1:7" x14ac:dyDescent="0.25">
      <c r="A3735" s="48"/>
      <c r="E3735" s="54"/>
      <c r="F3735"/>
      <c r="G3735"/>
    </row>
    <row r="3736" spans="1:7" x14ac:dyDescent="0.25">
      <c r="A3736" s="48"/>
      <c r="E3736" s="54"/>
      <c r="F3736"/>
      <c r="G3736"/>
    </row>
    <row r="3737" spans="1:7" x14ac:dyDescent="0.25">
      <c r="A3737" s="48"/>
      <c r="E3737" s="54"/>
      <c r="F3737"/>
      <c r="G3737"/>
    </row>
    <row r="3738" spans="1:7" x14ac:dyDescent="0.25">
      <c r="A3738" s="48"/>
      <c r="E3738" s="54"/>
      <c r="F3738"/>
      <c r="G3738"/>
    </row>
    <row r="3739" spans="1:7" x14ac:dyDescent="0.25">
      <c r="A3739" s="48"/>
      <c r="E3739" s="54"/>
      <c r="F3739"/>
      <c r="G3739"/>
    </row>
    <row r="3740" spans="1:7" x14ac:dyDescent="0.25">
      <c r="A3740" s="48"/>
      <c r="E3740" s="54"/>
      <c r="F3740"/>
      <c r="G3740"/>
    </row>
    <row r="3741" spans="1:7" x14ac:dyDescent="0.25">
      <c r="A3741" s="48"/>
      <c r="E3741" s="54"/>
      <c r="F3741"/>
      <c r="G3741"/>
    </row>
    <row r="3742" spans="1:7" x14ac:dyDescent="0.25">
      <c r="A3742" s="48"/>
      <c r="E3742" s="54"/>
      <c r="F3742"/>
      <c r="G3742"/>
    </row>
    <row r="3743" spans="1:7" x14ac:dyDescent="0.25">
      <c r="A3743" s="48"/>
      <c r="E3743" s="54"/>
      <c r="F3743"/>
      <c r="G3743"/>
    </row>
    <row r="3744" spans="1:7" x14ac:dyDescent="0.25">
      <c r="A3744" s="48"/>
      <c r="E3744" s="54"/>
      <c r="F3744"/>
      <c r="G3744"/>
    </row>
    <row r="3745" spans="1:7" x14ac:dyDescent="0.25">
      <c r="A3745" s="48"/>
      <c r="E3745" s="54"/>
      <c r="F3745"/>
      <c r="G3745"/>
    </row>
    <row r="3746" spans="1:7" x14ac:dyDescent="0.25">
      <c r="A3746" s="48"/>
      <c r="E3746" s="54"/>
      <c r="F3746"/>
      <c r="G3746"/>
    </row>
    <row r="3747" spans="1:7" x14ac:dyDescent="0.25">
      <c r="A3747" s="48"/>
      <c r="E3747" s="54"/>
      <c r="F3747"/>
      <c r="G3747"/>
    </row>
    <row r="3748" spans="1:7" x14ac:dyDescent="0.25">
      <c r="A3748" s="48"/>
      <c r="E3748" s="54"/>
      <c r="F3748"/>
      <c r="G3748"/>
    </row>
    <row r="3749" spans="1:7" x14ac:dyDescent="0.25">
      <c r="A3749" s="48"/>
      <c r="E3749" s="54"/>
      <c r="F3749"/>
      <c r="G3749"/>
    </row>
    <row r="3750" spans="1:7" x14ac:dyDescent="0.25">
      <c r="A3750" s="48"/>
      <c r="E3750" s="54"/>
      <c r="F3750"/>
      <c r="G3750"/>
    </row>
    <row r="3751" spans="1:7" x14ac:dyDescent="0.25">
      <c r="A3751" s="48"/>
      <c r="E3751" s="54"/>
      <c r="F3751"/>
      <c r="G3751"/>
    </row>
    <row r="3752" spans="1:7" x14ac:dyDescent="0.25">
      <c r="A3752" s="48"/>
      <c r="E3752" s="54"/>
      <c r="F3752"/>
      <c r="G3752"/>
    </row>
    <row r="3753" spans="1:7" x14ac:dyDescent="0.25">
      <c r="A3753" s="48"/>
      <c r="E3753" s="54"/>
      <c r="F3753"/>
      <c r="G3753"/>
    </row>
    <row r="3754" spans="1:7" x14ac:dyDescent="0.25">
      <c r="A3754" s="48"/>
      <c r="E3754" s="54"/>
      <c r="F3754"/>
      <c r="G3754"/>
    </row>
    <row r="3755" spans="1:7" x14ac:dyDescent="0.25">
      <c r="A3755" s="48"/>
      <c r="E3755" s="54"/>
      <c r="F3755"/>
      <c r="G3755"/>
    </row>
    <row r="3756" spans="1:7" x14ac:dyDescent="0.25">
      <c r="A3756" s="48"/>
      <c r="E3756" s="54"/>
      <c r="F3756"/>
      <c r="G3756"/>
    </row>
    <row r="3757" spans="1:7" x14ac:dyDescent="0.25">
      <c r="A3757" s="48"/>
      <c r="E3757" s="54"/>
      <c r="F3757"/>
      <c r="G3757"/>
    </row>
    <row r="3758" spans="1:7" x14ac:dyDescent="0.25">
      <c r="A3758" s="48"/>
      <c r="E3758" s="54"/>
      <c r="F3758"/>
      <c r="G3758"/>
    </row>
    <row r="3759" spans="1:7" x14ac:dyDescent="0.25">
      <c r="A3759" s="48"/>
      <c r="E3759" s="54"/>
      <c r="F3759"/>
      <c r="G3759"/>
    </row>
    <row r="3760" spans="1:7" x14ac:dyDescent="0.25">
      <c r="A3760" s="48"/>
      <c r="E3760" s="54"/>
      <c r="F3760"/>
      <c r="G3760"/>
    </row>
    <row r="3761" spans="1:7" x14ac:dyDescent="0.25">
      <c r="A3761" s="48"/>
      <c r="E3761" s="54"/>
      <c r="F3761"/>
      <c r="G3761"/>
    </row>
    <row r="3762" spans="1:7" x14ac:dyDescent="0.25">
      <c r="A3762" s="48"/>
      <c r="E3762" s="54"/>
      <c r="F3762"/>
      <c r="G3762"/>
    </row>
    <row r="3763" spans="1:7" x14ac:dyDescent="0.25">
      <c r="A3763" s="48"/>
      <c r="E3763" s="54"/>
      <c r="F3763"/>
      <c r="G3763"/>
    </row>
    <row r="3764" spans="1:7" x14ac:dyDescent="0.25">
      <c r="A3764" s="48"/>
      <c r="E3764" s="54"/>
      <c r="F3764"/>
      <c r="G3764"/>
    </row>
    <row r="3765" spans="1:7" x14ac:dyDescent="0.25">
      <c r="A3765" s="48"/>
      <c r="E3765" s="54"/>
      <c r="F3765"/>
      <c r="G3765"/>
    </row>
    <row r="3766" spans="1:7" x14ac:dyDescent="0.25">
      <c r="A3766" s="48"/>
      <c r="E3766" s="54"/>
      <c r="F3766"/>
      <c r="G3766"/>
    </row>
    <row r="3767" spans="1:7" x14ac:dyDescent="0.25">
      <c r="A3767" s="48"/>
      <c r="E3767" s="54"/>
      <c r="F3767"/>
      <c r="G3767"/>
    </row>
    <row r="3768" spans="1:7" x14ac:dyDescent="0.25">
      <c r="A3768" s="48"/>
      <c r="E3768" s="54"/>
      <c r="F3768"/>
      <c r="G3768"/>
    </row>
    <row r="3769" spans="1:7" x14ac:dyDescent="0.25">
      <c r="A3769" s="48"/>
      <c r="E3769" s="54"/>
      <c r="F3769"/>
      <c r="G3769"/>
    </row>
    <row r="3770" spans="1:7" x14ac:dyDescent="0.25">
      <c r="A3770" s="48"/>
      <c r="E3770" s="54"/>
      <c r="F3770"/>
      <c r="G3770"/>
    </row>
    <row r="3771" spans="1:7" x14ac:dyDescent="0.25">
      <c r="A3771" s="48"/>
      <c r="E3771" s="54"/>
      <c r="F3771"/>
      <c r="G3771"/>
    </row>
    <row r="3772" spans="1:7" x14ac:dyDescent="0.25">
      <c r="A3772" s="48"/>
      <c r="E3772" s="54"/>
      <c r="F3772"/>
      <c r="G3772"/>
    </row>
    <row r="3773" spans="1:7" x14ac:dyDescent="0.25">
      <c r="A3773" s="48"/>
      <c r="E3773" s="54"/>
      <c r="F3773"/>
      <c r="G3773"/>
    </row>
    <row r="3774" spans="1:7" x14ac:dyDescent="0.25">
      <c r="A3774" s="48"/>
      <c r="E3774" s="54"/>
      <c r="F3774"/>
      <c r="G3774"/>
    </row>
    <row r="3775" spans="1:7" x14ac:dyDescent="0.25">
      <c r="A3775" s="48"/>
      <c r="E3775" s="54"/>
      <c r="F3775"/>
      <c r="G3775"/>
    </row>
    <row r="3776" spans="1:7" x14ac:dyDescent="0.25">
      <c r="A3776" s="48"/>
      <c r="E3776" s="54"/>
      <c r="F3776"/>
      <c r="G3776"/>
    </row>
    <row r="3777" spans="1:7" x14ac:dyDescent="0.25">
      <c r="A3777" s="48"/>
      <c r="E3777" s="54"/>
      <c r="F3777"/>
      <c r="G3777"/>
    </row>
    <row r="3778" spans="1:7" x14ac:dyDescent="0.25">
      <c r="A3778" s="48"/>
      <c r="E3778" s="54"/>
      <c r="F3778"/>
      <c r="G3778"/>
    </row>
    <row r="3779" spans="1:7" x14ac:dyDescent="0.25">
      <c r="A3779" s="48"/>
      <c r="E3779" s="54"/>
      <c r="F3779"/>
      <c r="G3779"/>
    </row>
    <row r="3780" spans="1:7" x14ac:dyDescent="0.25">
      <c r="A3780" s="48"/>
      <c r="E3780" s="54"/>
      <c r="F3780"/>
      <c r="G3780"/>
    </row>
    <row r="3781" spans="1:7" x14ac:dyDescent="0.25">
      <c r="A3781" s="48"/>
      <c r="E3781" s="54"/>
      <c r="F3781"/>
      <c r="G3781"/>
    </row>
    <row r="3782" spans="1:7" x14ac:dyDescent="0.25">
      <c r="A3782" s="48"/>
      <c r="E3782" s="54"/>
      <c r="F3782"/>
      <c r="G3782"/>
    </row>
    <row r="3783" spans="1:7" x14ac:dyDescent="0.25">
      <c r="A3783" s="48"/>
      <c r="E3783" s="54"/>
      <c r="F3783"/>
      <c r="G3783"/>
    </row>
    <row r="3784" spans="1:7" x14ac:dyDescent="0.25">
      <c r="A3784" s="48"/>
      <c r="E3784" s="54"/>
      <c r="F3784"/>
      <c r="G3784"/>
    </row>
    <row r="3785" spans="1:7" x14ac:dyDescent="0.25">
      <c r="A3785" s="48"/>
      <c r="E3785" s="54"/>
      <c r="F3785"/>
      <c r="G3785"/>
    </row>
    <row r="3786" spans="1:7" x14ac:dyDescent="0.25">
      <c r="A3786" s="48"/>
      <c r="E3786" s="54"/>
      <c r="F3786"/>
      <c r="G3786"/>
    </row>
    <row r="3787" spans="1:7" x14ac:dyDescent="0.25">
      <c r="A3787" s="48"/>
      <c r="E3787" s="54"/>
      <c r="F3787"/>
      <c r="G3787"/>
    </row>
    <row r="3788" spans="1:7" x14ac:dyDescent="0.25">
      <c r="A3788" s="48"/>
      <c r="E3788" s="54"/>
      <c r="F3788"/>
      <c r="G3788"/>
    </row>
    <row r="3789" spans="1:7" x14ac:dyDescent="0.25">
      <c r="A3789" s="48"/>
      <c r="E3789" s="54"/>
      <c r="F3789"/>
      <c r="G3789"/>
    </row>
    <row r="3790" spans="1:7" x14ac:dyDescent="0.25">
      <c r="A3790" s="48"/>
      <c r="E3790" s="54"/>
      <c r="F3790"/>
      <c r="G3790"/>
    </row>
    <row r="3791" spans="1:7" x14ac:dyDescent="0.25">
      <c r="A3791" s="48"/>
      <c r="E3791" s="54"/>
      <c r="F3791"/>
      <c r="G3791"/>
    </row>
    <row r="3792" spans="1:7" x14ac:dyDescent="0.25">
      <c r="A3792" s="48"/>
      <c r="E3792" s="54"/>
      <c r="F3792"/>
      <c r="G3792"/>
    </row>
    <row r="3793" spans="1:7" x14ac:dyDescent="0.25">
      <c r="A3793" s="48"/>
      <c r="E3793" s="54"/>
      <c r="F3793"/>
      <c r="G3793"/>
    </row>
    <row r="3794" spans="1:7" x14ac:dyDescent="0.25">
      <c r="A3794" s="48"/>
      <c r="E3794" s="54"/>
      <c r="F3794"/>
      <c r="G3794"/>
    </row>
    <row r="3795" spans="1:7" x14ac:dyDescent="0.25">
      <c r="A3795" s="48"/>
      <c r="E3795" s="54"/>
      <c r="F3795"/>
      <c r="G3795"/>
    </row>
    <row r="3796" spans="1:7" x14ac:dyDescent="0.25">
      <c r="A3796" s="48"/>
      <c r="E3796" s="54"/>
      <c r="F3796"/>
      <c r="G3796"/>
    </row>
    <row r="3797" spans="1:7" x14ac:dyDescent="0.25">
      <c r="A3797" s="48"/>
      <c r="E3797" s="54"/>
      <c r="F3797"/>
      <c r="G3797"/>
    </row>
    <row r="3798" spans="1:7" x14ac:dyDescent="0.25">
      <c r="A3798" s="48"/>
      <c r="E3798" s="54"/>
      <c r="F3798"/>
      <c r="G3798"/>
    </row>
    <row r="3799" spans="1:7" x14ac:dyDescent="0.25">
      <c r="A3799" s="48"/>
      <c r="E3799" s="54"/>
      <c r="F3799"/>
      <c r="G3799"/>
    </row>
    <row r="3800" spans="1:7" x14ac:dyDescent="0.25">
      <c r="A3800" s="48"/>
      <c r="E3800" s="54"/>
      <c r="F3800"/>
      <c r="G3800"/>
    </row>
    <row r="3801" spans="1:7" x14ac:dyDescent="0.25">
      <c r="A3801" s="48"/>
      <c r="E3801" s="54"/>
      <c r="F3801"/>
      <c r="G3801"/>
    </row>
    <row r="3802" spans="1:7" x14ac:dyDescent="0.25">
      <c r="A3802" s="48"/>
      <c r="E3802" s="54"/>
      <c r="F3802"/>
      <c r="G3802"/>
    </row>
    <row r="3803" spans="1:7" x14ac:dyDescent="0.25">
      <c r="A3803" s="48"/>
      <c r="E3803" s="54"/>
      <c r="F3803"/>
      <c r="G3803"/>
    </row>
    <row r="3804" spans="1:7" x14ac:dyDescent="0.25">
      <c r="A3804" s="48"/>
      <c r="E3804" s="54"/>
      <c r="F3804"/>
      <c r="G3804"/>
    </row>
    <row r="3805" spans="1:7" x14ac:dyDescent="0.25">
      <c r="A3805" s="48"/>
      <c r="E3805" s="54"/>
      <c r="F3805"/>
      <c r="G3805"/>
    </row>
    <row r="3806" spans="1:7" x14ac:dyDescent="0.25">
      <c r="A3806" s="48"/>
      <c r="E3806" s="54"/>
      <c r="F3806"/>
      <c r="G3806"/>
    </row>
    <row r="3807" spans="1:7" x14ac:dyDescent="0.25">
      <c r="A3807" s="48"/>
      <c r="E3807" s="54"/>
      <c r="F3807"/>
      <c r="G3807"/>
    </row>
    <row r="3808" spans="1:7" x14ac:dyDescent="0.25">
      <c r="A3808" s="48"/>
      <c r="E3808" s="54"/>
      <c r="F3808"/>
      <c r="G3808"/>
    </row>
    <row r="3809" spans="1:7" x14ac:dyDescent="0.25">
      <c r="A3809" s="48"/>
      <c r="E3809" s="54"/>
      <c r="F3809"/>
      <c r="G3809"/>
    </row>
    <row r="3810" spans="1:7" x14ac:dyDescent="0.25">
      <c r="A3810" s="48"/>
      <c r="E3810" s="54"/>
      <c r="F3810"/>
      <c r="G3810"/>
    </row>
    <row r="3811" spans="1:7" x14ac:dyDescent="0.25">
      <c r="A3811" s="48"/>
      <c r="E3811" s="54"/>
      <c r="F3811"/>
      <c r="G3811"/>
    </row>
    <row r="3812" spans="1:7" x14ac:dyDescent="0.25">
      <c r="A3812" s="48"/>
      <c r="E3812" s="54"/>
      <c r="F3812"/>
      <c r="G3812"/>
    </row>
    <row r="3813" spans="1:7" x14ac:dyDescent="0.25">
      <c r="A3813" s="48"/>
      <c r="E3813" s="54"/>
      <c r="F3813"/>
      <c r="G3813"/>
    </row>
    <row r="3814" spans="1:7" x14ac:dyDescent="0.25">
      <c r="A3814" s="48"/>
      <c r="E3814" s="54"/>
      <c r="F3814"/>
      <c r="G3814"/>
    </row>
    <row r="3815" spans="1:7" x14ac:dyDescent="0.25">
      <c r="A3815" s="48"/>
      <c r="E3815" s="54"/>
      <c r="F3815"/>
      <c r="G3815"/>
    </row>
    <row r="3816" spans="1:7" x14ac:dyDescent="0.25">
      <c r="A3816" s="48"/>
      <c r="E3816" s="54"/>
      <c r="F3816"/>
      <c r="G3816"/>
    </row>
    <row r="3817" spans="1:7" x14ac:dyDescent="0.25">
      <c r="A3817" s="48"/>
      <c r="E3817" s="54"/>
      <c r="F3817"/>
      <c r="G3817"/>
    </row>
    <row r="3818" spans="1:7" x14ac:dyDescent="0.25">
      <c r="A3818" s="48"/>
      <c r="E3818" s="54"/>
      <c r="F3818"/>
      <c r="G3818"/>
    </row>
    <row r="3819" spans="1:7" x14ac:dyDescent="0.25">
      <c r="A3819" s="48"/>
      <c r="E3819" s="54"/>
      <c r="F3819"/>
      <c r="G3819"/>
    </row>
    <row r="3820" spans="1:7" x14ac:dyDescent="0.25">
      <c r="A3820" s="48"/>
      <c r="E3820" s="54"/>
      <c r="F3820"/>
      <c r="G3820"/>
    </row>
    <row r="3821" spans="1:7" x14ac:dyDescent="0.25">
      <c r="A3821" s="40"/>
      <c r="E3821" s="54"/>
      <c r="F3821" s="2"/>
      <c r="G3821"/>
    </row>
    <row r="3822" spans="1:7" x14ac:dyDescent="0.25">
      <c r="A3822" s="40"/>
      <c r="E3822" s="54"/>
      <c r="G3822"/>
    </row>
    <row r="3823" spans="1:7" x14ac:dyDescent="0.25">
      <c r="A3823" s="40"/>
      <c r="E3823" s="54"/>
      <c r="G3823"/>
    </row>
    <row r="3824" spans="1:7" x14ac:dyDescent="0.25">
      <c r="A3824" s="40"/>
      <c r="E3824" s="54"/>
      <c r="G3824"/>
    </row>
    <row r="3825" spans="1:7" x14ac:dyDescent="0.25">
      <c r="A3825" s="39"/>
      <c r="E3825" s="54"/>
      <c r="G3825"/>
    </row>
    <row r="3826" spans="1:7" x14ac:dyDescent="0.25">
      <c r="E3826" s="54"/>
      <c r="G3826"/>
    </row>
    <row r="3827" spans="1:7" x14ac:dyDescent="0.25">
      <c r="E3827" s="54"/>
      <c r="G3827"/>
    </row>
    <row r="3828" spans="1:7" x14ac:dyDescent="0.25">
      <c r="E3828" s="54"/>
      <c r="G3828"/>
    </row>
    <row r="3829" spans="1:7" x14ac:dyDescent="0.25">
      <c r="E3829" s="54"/>
      <c r="G3829"/>
    </row>
    <row r="3830" spans="1:7" x14ac:dyDescent="0.25">
      <c r="E3830" s="54"/>
      <c r="G3830"/>
    </row>
    <row r="3831" spans="1:7" x14ac:dyDescent="0.25">
      <c r="E3831" s="54"/>
      <c r="G3831"/>
    </row>
    <row r="3832" spans="1:7" x14ac:dyDescent="0.25">
      <c r="E3832" s="54"/>
      <c r="G3832"/>
    </row>
    <row r="3833" spans="1:7" x14ac:dyDescent="0.25">
      <c r="E3833" s="54"/>
      <c r="G3833"/>
    </row>
    <row r="3834" spans="1:7" x14ac:dyDescent="0.25">
      <c r="E3834" s="54"/>
      <c r="G3834"/>
    </row>
    <row r="3835" spans="1:7" x14ac:dyDescent="0.25">
      <c r="E3835" s="54"/>
      <c r="G3835"/>
    </row>
    <row r="3836" spans="1:7" x14ac:dyDescent="0.25">
      <c r="E3836" s="54"/>
      <c r="G3836"/>
    </row>
    <row r="3837" spans="1:7" x14ac:dyDescent="0.25">
      <c r="E3837" s="54"/>
      <c r="G3837"/>
    </row>
    <row r="3838" spans="1:7" x14ac:dyDescent="0.25">
      <c r="E3838" s="54"/>
      <c r="G3838"/>
    </row>
    <row r="3839" spans="1:7" x14ac:dyDescent="0.25">
      <c r="E3839" s="54"/>
      <c r="G3839"/>
    </row>
    <row r="3840" spans="1:7" x14ac:dyDescent="0.25">
      <c r="E3840" s="54"/>
      <c r="G3840"/>
    </row>
    <row r="3841" spans="5:7" x14ac:dyDescent="0.25">
      <c r="E3841" s="54"/>
      <c r="G3841"/>
    </row>
    <row r="3842" spans="5:7" x14ac:dyDescent="0.25">
      <c r="E3842" s="54"/>
      <c r="G3842"/>
    </row>
    <row r="3843" spans="5:7" x14ac:dyDescent="0.25">
      <c r="E3843" s="54"/>
      <c r="G3843"/>
    </row>
    <row r="3844" spans="5:7" x14ac:dyDescent="0.25">
      <c r="E3844" s="54"/>
      <c r="G3844"/>
    </row>
    <row r="3845" spans="5:7" x14ac:dyDescent="0.25">
      <c r="E3845" s="54"/>
      <c r="G3845"/>
    </row>
    <row r="3846" spans="5:7" x14ac:dyDescent="0.25">
      <c r="E3846" s="54"/>
      <c r="G3846"/>
    </row>
    <row r="3847" spans="5:7" x14ac:dyDescent="0.25">
      <c r="E3847" s="54"/>
      <c r="G3847"/>
    </row>
    <row r="3848" spans="5:7" x14ac:dyDescent="0.25">
      <c r="E3848" s="54"/>
      <c r="G3848"/>
    </row>
    <row r="3849" spans="5:7" x14ac:dyDescent="0.25">
      <c r="E3849" s="54"/>
      <c r="G3849"/>
    </row>
    <row r="3850" spans="5:7" x14ac:dyDescent="0.25">
      <c r="E3850" s="54"/>
      <c r="G3850"/>
    </row>
    <row r="3851" spans="5:7" x14ac:dyDescent="0.25">
      <c r="E3851" s="54"/>
      <c r="G3851"/>
    </row>
    <row r="3852" spans="5:7" x14ac:dyDescent="0.25">
      <c r="E3852" s="54"/>
      <c r="G3852"/>
    </row>
    <row r="3853" spans="5:7" x14ac:dyDescent="0.25">
      <c r="E3853" s="54"/>
      <c r="G3853"/>
    </row>
    <row r="3854" spans="5:7" x14ac:dyDescent="0.25">
      <c r="E3854" s="54"/>
      <c r="G3854"/>
    </row>
    <row r="3855" spans="5:7" x14ac:dyDescent="0.25">
      <c r="E3855" s="54"/>
      <c r="G3855"/>
    </row>
    <row r="3856" spans="5:7" x14ac:dyDescent="0.25">
      <c r="E3856" s="54"/>
      <c r="G3856"/>
    </row>
    <row r="3857" spans="5:7" x14ac:dyDescent="0.25">
      <c r="E3857" s="54"/>
      <c r="G3857"/>
    </row>
    <row r="3858" spans="5:7" x14ac:dyDescent="0.25">
      <c r="E3858" s="54"/>
      <c r="G3858"/>
    </row>
    <row r="3859" spans="5:7" x14ac:dyDescent="0.25">
      <c r="E3859" s="54"/>
      <c r="G3859"/>
    </row>
    <row r="3860" spans="5:7" x14ac:dyDescent="0.25">
      <c r="E3860" s="54"/>
      <c r="G3860"/>
    </row>
    <row r="3861" spans="5:7" x14ac:dyDescent="0.25">
      <c r="E3861" s="54"/>
      <c r="G3861"/>
    </row>
    <row r="3862" spans="5:7" x14ac:dyDescent="0.25">
      <c r="E3862" s="54"/>
      <c r="G3862"/>
    </row>
    <row r="3863" spans="5:7" x14ac:dyDescent="0.25">
      <c r="E3863" s="54"/>
      <c r="G3863"/>
    </row>
    <row r="3864" spans="5:7" x14ac:dyDescent="0.25">
      <c r="E3864" s="54"/>
      <c r="G3864"/>
    </row>
    <row r="3865" spans="5:7" x14ac:dyDescent="0.25">
      <c r="E3865" s="54"/>
      <c r="G3865"/>
    </row>
    <row r="3866" spans="5:7" x14ac:dyDescent="0.25">
      <c r="E3866" s="54"/>
      <c r="G3866"/>
    </row>
    <row r="3867" spans="5:7" x14ac:dyDescent="0.25">
      <c r="E3867" s="54"/>
      <c r="G3867"/>
    </row>
    <row r="3868" spans="5:7" x14ac:dyDescent="0.25">
      <c r="E3868" s="54"/>
      <c r="G3868"/>
    </row>
    <row r="3869" spans="5:7" x14ac:dyDescent="0.25">
      <c r="E3869" s="54"/>
      <c r="G3869"/>
    </row>
    <row r="3870" spans="5:7" x14ac:dyDescent="0.25">
      <c r="E3870" s="54"/>
      <c r="G3870"/>
    </row>
    <row r="3871" spans="5:7" x14ac:dyDescent="0.25">
      <c r="E3871" s="54"/>
      <c r="G3871"/>
    </row>
    <row r="3872" spans="5:7" x14ac:dyDescent="0.25">
      <c r="E3872" s="54"/>
      <c r="G3872"/>
    </row>
    <row r="3873" spans="1:7" x14ac:dyDescent="0.25">
      <c r="E3873" s="54"/>
      <c r="G3873"/>
    </row>
    <row r="3874" spans="1:7" x14ac:dyDescent="0.25">
      <c r="E3874" s="54"/>
      <c r="G3874"/>
    </row>
    <row r="3875" spans="1:7" x14ac:dyDescent="0.25">
      <c r="E3875" s="54"/>
      <c r="G3875"/>
    </row>
    <row r="3876" spans="1:7" x14ac:dyDescent="0.25">
      <c r="E3876" s="54"/>
      <c r="G3876"/>
    </row>
    <row r="3877" spans="1:7" x14ac:dyDescent="0.25">
      <c r="E3877" s="54"/>
      <c r="G3877"/>
    </row>
    <row r="3878" spans="1:7" x14ac:dyDescent="0.25">
      <c r="E3878" s="54"/>
      <c r="G3878"/>
    </row>
    <row r="3879" spans="1:7" x14ac:dyDescent="0.25">
      <c r="E3879" s="54"/>
      <c r="G3879"/>
    </row>
    <row r="3880" spans="1:7" x14ac:dyDescent="0.25">
      <c r="E3880" s="54"/>
      <c r="G3880"/>
    </row>
    <row r="3881" spans="1:7" x14ac:dyDescent="0.25">
      <c r="E3881" s="54"/>
      <c r="G3881"/>
    </row>
    <row r="3882" spans="1:7" x14ac:dyDescent="0.25">
      <c r="E3882" s="54"/>
      <c r="G3882"/>
    </row>
    <row r="3883" spans="1:7" x14ac:dyDescent="0.25">
      <c r="E3883" s="54"/>
      <c r="G3883"/>
    </row>
    <row r="3884" spans="1:7" x14ac:dyDescent="0.25">
      <c r="E3884" s="54"/>
      <c r="G3884"/>
    </row>
    <row r="3885" spans="1:7" x14ac:dyDescent="0.25">
      <c r="E3885" s="54"/>
      <c r="G3885"/>
    </row>
    <row r="3886" spans="1:7" x14ac:dyDescent="0.25">
      <c r="A3886" s="39"/>
      <c r="E3886" s="54"/>
      <c r="F3886" s="2"/>
      <c r="G3886"/>
    </row>
    <row r="3887" spans="1:7" x14ac:dyDescent="0.25">
      <c r="A3887" s="39"/>
      <c r="E3887" s="54"/>
      <c r="F3887" s="2"/>
      <c r="G3887"/>
    </row>
    <row r="3888" spans="1:7" x14ac:dyDescent="0.25">
      <c r="A3888" s="39"/>
      <c r="E3888" s="54"/>
      <c r="F3888" s="2"/>
      <c r="G3888"/>
    </row>
    <row r="3889" spans="1:7" x14ac:dyDescent="0.25">
      <c r="A3889" s="39"/>
      <c r="E3889" s="54"/>
      <c r="F3889" s="2"/>
      <c r="G3889"/>
    </row>
    <row r="3890" spans="1:7" x14ac:dyDescent="0.25">
      <c r="A3890" s="39"/>
      <c r="E3890" s="54"/>
      <c r="F3890" s="2"/>
      <c r="G3890"/>
    </row>
    <row r="3891" spans="1:7" x14ac:dyDescent="0.25">
      <c r="A3891" s="39"/>
      <c r="E3891" s="54"/>
      <c r="F3891" s="2"/>
      <c r="G3891"/>
    </row>
    <row r="3892" spans="1:7" x14ac:dyDescent="0.25">
      <c r="A3892" s="39"/>
      <c r="E3892" s="54"/>
      <c r="F3892" s="2"/>
      <c r="G3892"/>
    </row>
    <row r="3893" spans="1:7" x14ac:dyDescent="0.25">
      <c r="A3893" s="39"/>
      <c r="E3893" s="54"/>
      <c r="F3893" s="2"/>
      <c r="G3893"/>
    </row>
    <row r="3894" spans="1:7" x14ac:dyDescent="0.25">
      <c r="A3894" s="39"/>
      <c r="E3894" s="54"/>
      <c r="F3894" s="2"/>
      <c r="G3894"/>
    </row>
    <row r="3895" spans="1:7" x14ac:dyDescent="0.25">
      <c r="A3895" s="48"/>
      <c r="E3895" s="54"/>
      <c r="F3895"/>
      <c r="G3895"/>
    </row>
    <row r="3896" spans="1:7" x14ac:dyDescent="0.25">
      <c r="A3896" s="48"/>
      <c r="E3896" s="54"/>
      <c r="F3896"/>
      <c r="G3896"/>
    </row>
    <row r="3897" spans="1:7" x14ac:dyDescent="0.25">
      <c r="A3897" s="48"/>
      <c r="E3897" s="54"/>
      <c r="F3897"/>
      <c r="G3897"/>
    </row>
    <row r="3898" spans="1:7" x14ac:dyDescent="0.25">
      <c r="A3898" s="48"/>
      <c r="E3898" s="54"/>
      <c r="F3898"/>
      <c r="G3898"/>
    </row>
    <row r="3899" spans="1:7" x14ac:dyDescent="0.25">
      <c r="A3899" s="48"/>
      <c r="E3899" s="54"/>
      <c r="F3899"/>
      <c r="G3899"/>
    </row>
    <row r="3900" spans="1:7" x14ac:dyDescent="0.25">
      <c r="A3900" s="48"/>
      <c r="E3900" s="54"/>
      <c r="F3900"/>
      <c r="G3900"/>
    </row>
    <row r="3901" spans="1:7" x14ac:dyDescent="0.25">
      <c r="A3901" s="48"/>
      <c r="E3901" s="54"/>
      <c r="F3901"/>
      <c r="G3901"/>
    </row>
    <row r="3902" spans="1:7" x14ac:dyDescent="0.25">
      <c r="A3902" s="48"/>
      <c r="E3902" s="54"/>
      <c r="F3902"/>
      <c r="G3902"/>
    </row>
    <row r="3903" spans="1:7" x14ac:dyDescent="0.25">
      <c r="A3903" s="48"/>
      <c r="E3903" s="54"/>
      <c r="F3903"/>
      <c r="G3903"/>
    </row>
    <row r="3904" spans="1:7" x14ac:dyDescent="0.25">
      <c r="A3904" s="48"/>
      <c r="E3904" s="54"/>
      <c r="F3904"/>
      <c r="G3904"/>
    </row>
    <row r="3905" spans="1:7" x14ac:dyDescent="0.25">
      <c r="A3905" s="48"/>
      <c r="E3905" s="54"/>
      <c r="F3905"/>
      <c r="G3905"/>
    </row>
    <row r="3906" spans="1:7" x14ac:dyDescent="0.25">
      <c r="A3906" s="48"/>
      <c r="E3906" s="54"/>
      <c r="F3906"/>
      <c r="G3906"/>
    </row>
    <row r="3907" spans="1:7" x14ac:dyDescent="0.25">
      <c r="A3907" s="48"/>
      <c r="E3907" s="54"/>
      <c r="F3907"/>
      <c r="G3907"/>
    </row>
    <row r="3908" spans="1:7" x14ac:dyDescent="0.25">
      <c r="A3908" s="48"/>
      <c r="E3908" s="54"/>
      <c r="F3908"/>
      <c r="G3908"/>
    </row>
    <row r="3909" spans="1:7" x14ac:dyDescent="0.25">
      <c r="A3909" s="48"/>
      <c r="E3909" s="54"/>
      <c r="F3909"/>
      <c r="G3909"/>
    </row>
    <row r="3910" spans="1:7" x14ac:dyDescent="0.25">
      <c r="A3910" s="48"/>
      <c r="E3910" s="54"/>
      <c r="F3910"/>
      <c r="G3910"/>
    </row>
    <row r="3911" spans="1:7" x14ac:dyDescent="0.25">
      <c r="A3911" s="48"/>
      <c r="E3911" s="54"/>
      <c r="F3911"/>
      <c r="G3911"/>
    </row>
    <row r="3912" spans="1:7" x14ac:dyDescent="0.25">
      <c r="A3912" s="48"/>
      <c r="E3912" s="54"/>
      <c r="F3912"/>
      <c r="G3912"/>
    </row>
    <row r="3913" spans="1:7" x14ac:dyDescent="0.25">
      <c r="A3913" s="48"/>
      <c r="E3913" s="54"/>
      <c r="F3913"/>
      <c r="G3913"/>
    </row>
    <row r="3914" spans="1:7" x14ac:dyDescent="0.25">
      <c r="A3914" s="48"/>
      <c r="E3914" s="54"/>
      <c r="F3914"/>
      <c r="G3914"/>
    </row>
    <row r="3915" spans="1:7" x14ac:dyDescent="0.25">
      <c r="A3915" s="48"/>
      <c r="E3915" s="54"/>
      <c r="F3915"/>
      <c r="G3915"/>
    </row>
    <row r="3916" spans="1:7" x14ac:dyDescent="0.25">
      <c r="A3916" s="48"/>
      <c r="E3916" s="54"/>
      <c r="F3916"/>
      <c r="G3916"/>
    </row>
    <row r="3917" spans="1:7" x14ac:dyDescent="0.25">
      <c r="A3917" s="48"/>
      <c r="E3917" s="54"/>
      <c r="F3917"/>
      <c r="G3917"/>
    </row>
    <row r="3918" spans="1:7" x14ac:dyDescent="0.25">
      <c r="A3918" s="48"/>
      <c r="E3918" s="54"/>
      <c r="F3918"/>
      <c r="G3918"/>
    </row>
    <row r="3919" spans="1:7" x14ac:dyDescent="0.25">
      <c r="A3919" s="48"/>
      <c r="E3919" s="54"/>
      <c r="F3919"/>
      <c r="G3919"/>
    </row>
    <row r="3920" spans="1:7" x14ac:dyDescent="0.25">
      <c r="A3920" s="48"/>
      <c r="E3920" s="54"/>
      <c r="F3920"/>
      <c r="G3920"/>
    </row>
    <row r="3921" spans="1:7" x14ac:dyDescent="0.25">
      <c r="A3921" s="48"/>
      <c r="E3921" s="54"/>
      <c r="F3921"/>
      <c r="G3921"/>
    </row>
    <row r="3922" spans="1:7" x14ac:dyDescent="0.25">
      <c r="A3922" s="48"/>
      <c r="E3922" s="54"/>
      <c r="F3922"/>
      <c r="G3922"/>
    </row>
    <row r="3923" spans="1:7" x14ac:dyDescent="0.25">
      <c r="A3923" s="48"/>
      <c r="E3923" s="54"/>
      <c r="F3923"/>
      <c r="G3923"/>
    </row>
    <row r="3924" spans="1:7" x14ac:dyDescent="0.25">
      <c r="A3924" s="48"/>
      <c r="E3924" s="54"/>
      <c r="F3924"/>
      <c r="G3924"/>
    </row>
    <row r="3925" spans="1:7" x14ac:dyDescent="0.25">
      <c r="A3925" s="48"/>
      <c r="E3925" s="54"/>
      <c r="F3925"/>
      <c r="G3925"/>
    </row>
    <row r="3926" spans="1:7" x14ac:dyDescent="0.25">
      <c r="A3926" s="48"/>
      <c r="E3926" s="54"/>
      <c r="F3926"/>
      <c r="G3926"/>
    </row>
    <row r="3927" spans="1:7" x14ac:dyDescent="0.25">
      <c r="A3927" s="48"/>
      <c r="E3927" s="54"/>
      <c r="F3927"/>
      <c r="G3927"/>
    </row>
    <row r="3928" spans="1:7" x14ac:dyDescent="0.25">
      <c r="A3928" s="48"/>
      <c r="E3928" s="54"/>
      <c r="F3928"/>
      <c r="G3928"/>
    </row>
    <row r="3929" spans="1:7" x14ac:dyDescent="0.25">
      <c r="A3929" s="48"/>
      <c r="E3929" s="54"/>
      <c r="F3929"/>
      <c r="G3929"/>
    </row>
    <row r="3930" spans="1:7" x14ac:dyDescent="0.25">
      <c r="A3930" s="48"/>
      <c r="E3930" s="54"/>
      <c r="F3930"/>
      <c r="G3930"/>
    </row>
    <row r="3931" spans="1:7" x14ac:dyDescent="0.25">
      <c r="A3931" s="48"/>
      <c r="E3931" s="54"/>
      <c r="F3931"/>
      <c r="G3931"/>
    </row>
    <row r="3932" spans="1:7" x14ac:dyDescent="0.25">
      <c r="A3932" s="48"/>
      <c r="E3932" s="54"/>
      <c r="F3932"/>
      <c r="G3932"/>
    </row>
    <row r="3933" spans="1:7" x14ac:dyDescent="0.25">
      <c r="A3933" s="48"/>
      <c r="E3933" s="54"/>
      <c r="F3933"/>
      <c r="G3933"/>
    </row>
    <row r="3934" spans="1:7" x14ac:dyDescent="0.25">
      <c r="A3934" s="48"/>
      <c r="E3934" s="54"/>
      <c r="F3934"/>
      <c r="G3934"/>
    </row>
    <row r="3935" spans="1:7" x14ac:dyDescent="0.25">
      <c r="A3935" s="45"/>
      <c r="F3935"/>
      <c r="G3935"/>
    </row>
    <row r="3936" spans="1:7" x14ac:dyDescent="0.25">
      <c r="A3936" s="45"/>
      <c r="F3936"/>
      <c r="G3936"/>
    </row>
    <row r="3937" spans="1:7" x14ac:dyDescent="0.25">
      <c r="E3937" s="54"/>
      <c r="G3937"/>
    </row>
    <row r="3938" spans="1:7" x14ac:dyDescent="0.25">
      <c r="E3938" s="54"/>
      <c r="G3938"/>
    </row>
    <row r="3939" spans="1:7" x14ac:dyDescent="0.25">
      <c r="E3939" s="54"/>
      <c r="G3939"/>
    </row>
    <row r="3940" spans="1:7" x14ac:dyDescent="0.25">
      <c r="E3940" s="54"/>
      <c r="G3940"/>
    </row>
    <row r="3941" spans="1:7" x14ac:dyDescent="0.25">
      <c r="A3941" s="39"/>
      <c r="E3941" s="54"/>
      <c r="F3941" s="2"/>
      <c r="G3941"/>
    </row>
    <row r="3942" spans="1:7" x14ac:dyDescent="0.25">
      <c r="A3942" s="39"/>
      <c r="E3942" s="54"/>
      <c r="F3942" s="2"/>
      <c r="G3942"/>
    </row>
    <row r="3943" spans="1:7" x14ac:dyDescent="0.25">
      <c r="A3943" s="48"/>
      <c r="E3943" s="54"/>
      <c r="F3943"/>
      <c r="G3943"/>
    </row>
    <row r="3944" spans="1:7" x14ac:dyDescent="0.25">
      <c r="A3944" s="39"/>
      <c r="E3944" s="54"/>
      <c r="F3944" s="2"/>
      <c r="G3944"/>
    </row>
    <row r="3945" spans="1:7" x14ac:dyDescent="0.25">
      <c r="A3945" s="39"/>
      <c r="E3945" s="54"/>
      <c r="F3945" s="2"/>
      <c r="G3945"/>
    </row>
    <row r="3946" spans="1:7" x14ac:dyDescent="0.25">
      <c r="A3946" s="39"/>
      <c r="E3946" s="54"/>
      <c r="F3946" s="2"/>
      <c r="G3946"/>
    </row>
    <row r="3947" spans="1:7" x14ac:dyDescent="0.25">
      <c r="A3947" s="48"/>
      <c r="E3947" s="54"/>
      <c r="F3947"/>
      <c r="G3947"/>
    </row>
    <row r="3948" spans="1:7" x14ac:dyDescent="0.25">
      <c r="A3948" s="48"/>
      <c r="E3948" s="54"/>
      <c r="F3948"/>
      <c r="G3948"/>
    </row>
    <row r="3949" spans="1:7" x14ac:dyDescent="0.25">
      <c r="A3949" s="48"/>
      <c r="E3949" s="54"/>
      <c r="F3949"/>
      <c r="G3949"/>
    </row>
    <row r="3950" spans="1:7" x14ac:dyDescent="0.25">
      <c r="A3950" s="48"/>
      <c r="E3950" s="54"/>
      <c r="F3950"/>
      <c r="G3950"/>
    </row>
    <row r="3951" spans="1:7" x14ac:dyDescent="0.25">
      <c r="A3951" s="39"/>
      <c r="E3951" s="54"/>
      <c r="F3951" s="2"/>
      <c r="G3951"/>
    </row>
    <row r="3952" spans="1:7" x14ac:dyDescent="0.25">
      <c r="A3952" s="39"/>
      <c r="E3952" s="54"/>
      <c r="F3952" s="2"/>
      <c r="G3952"/>
    </row>
    <row r="3953" spans="1:7" x14ac:dyDescent="0.25">
      <c r="A3953" s="46"/>
      <c r="G3953"/>
    </row>
    <row r="3954" spans="1:7" x14ac:dyDescent="0.25">
      <c r="A3954" s="46"/>
      <c r="G3954"/>
    </row>
    <row r="3955" spans="1:7" x14ac:dyDescent="0.25">
      <c r="A3955" s="46"/>
      <c r="G3955"/>
    </row>
    <row r="3956" spans="1:7" x14ac:dyDescent="0.25">
      <c r="A3956" s="46"/>
      <c r="G3956"/>
    </row>
    <row r="3957" spans="1:7" x14ac:dyDescent="0.25">
      <c r="A3957" s="45"/>
      <c r="F3957"/>
      <c r="G3957"/>
    </row>
    <row r="3958" spans="1:7" x14ac:dyDescent="0.25">
      <c r="A3958" s="45"/>
      <c r="F3958"/>
      <c r="G3958"/>
    </row>
    <row r="3959" spans="1:7" x14ac:dyDescent="0.25">
      <c r="A3959" s="45"/>
      <c r="F3959"/>
      <c r="G3959"/>
    </row>
    <row r="3960" spans="1:7" x14ac:dyDescent="0.25">
      <c r="A3960" s="45"/>
      <c r="F3960"/>
      <c r="G3960"/>
    </row>
    <row r="3961" spans="1:7" x14ac:dyDescent="0.25">
      <c r="A3961" s="45"/>
      <c r="F3961"/>
      <c r="G3961"/>
    </row>
    <row r="3962" spans="1:7" x14ac:dyDescent="0.25">
      <c r="A3962" s="45"/>
      <c r="F3962"/>
      <c r="G3962"/>
    </row>
    <row r="3963" spans="1:7" x14ac:dyDescent="0.25">
      <c r="A3963" s="45"/>
      <c r="F3963"/>
      <c r="G3963"/>
    </row>
    <row r="3964" spans="1:7" x14ac:dyDescent="0.25">
      <c r="A3964" s="45"/>
      <c r="F3964"/>
      <c r="G3964"/>
    </row>
    <row r="3965" spans="1:7" x14ac:dyDescent="0.25">
      <c r="A3965" s="45"/>
      <c r="F3965"/>
      <c r="G3965"/>
    </row>
    <row r="3966" spans="1:7" x14ac:dyDescent="0.25">
      <c r="A3966" s="45"/>
      <c r="F3966"/>
      <c r="G3966"/>
    </row>
    <row r="3967" spans="1:7" x14ac:dyDescent="0.25">
      <c r="A3967" s="45"/>
      <c r="F3967"/>
      <c r="G3967"/>
    </row>
    <row r="3968" spans="1:7" x14ac:dyDescent="0.25">
      <c r="A3968" s="45"/>
      <c r="F3968"/>
      <c r="G3968"/>
    </row>
    <row r="3969" spans="1:7" x14ac:dyDescent="0.25">
      <c r="A3969" s="45"/>
      <c r="F3969"/>
      <c r="G3969"/>
    </row>
    <row r="3970" spans="1:7" x14ac:dyDescent="0.25">
      <c r="A3970" s="45"/>
      <c r="F3970"/>
      <c r="G3970"/>
    </row>
    <row r="3971" spans="1:7" x14ac:dyDescent="0.25">
      <c r="A3971" s="45"/>
      <c r="F3971"/>
      <c r="G3971"/>
    </row>
    <row r="3972" spans="1:7" x14ac:dyDescent="0.25">
      <c r="A3972" s="45"/>
      <c r="F3972"/>
      <c r="G3972"/>
    </row>
    <row r="3973" spans="1:7" x14ac:dyDescent="0.25">
      <c r="A3973" s="45"/>
      <c r="F3973"/>
      <c r="G3973"/>
    </row>
    <row r="3974" spans="1:7" x14ac:dyDescent="0.25">
      <c r="A3974" s="45"/>
      <c r="F3974"/>
      <c r="G3974"/>
    </row>
    <row r="3975" spans="1:7" x14ac:dyDescent="0.25">
      <c r="A3975" s="45"/>
      <c r="F3975"/>
      <c r="G3975"/>
    </row>
    <row r="3976" spans="1:7" x14ac:dyDescent="0.25">
      <c r="A3976" s="45"/>
      <c r="F3976"/>
      <c r="G3976"/>
    </row>
    <row r="3977" spans="1:7" x14ac:dyDescent="0.25">
      <c r="G3977"/>
    </row>
    <row r="3978" spans="1:7" x14ac:dyDescent="0.25">
      <c r="G3978"/>
    </row>
    <row r="3979" spans="1:7" x14ac:dyDescent="0.25">
      <c r="G3979"/>
    </row>
    <row r="3980" spans="1:7" x14ac:dyDescent="0.25">
      <c r="G3980"/>
    </row>
    <row r="3981" spans="1:7" x14ac:dyDescent="0.25">
      <c r="G3981"/>
    </row>
    <row r="3982" spans="1:7" x14ac:dyDescent="0.25">
      <c r="G3982"/>
    </row>
    <row r="3983" spans="1:7" x14ac:dyDescent="0.25">
      <c r="G3983"/>
    </row>
    <row r="3984" spans="1:7" x14ac:dyDescent="0.25">
      <c r="A3984" s="48"/>
      <c r="E3984" s="54"/>
      <c r="F3984"/>
      <c r="G3984"/>
    </row>
    <row r="3985" spans="1:7" x14ac:dyDescent="0.25">
      <c r="A3985" s="48"/>
      <c r="E3985" s="54"/>
      <c r="F3985"/>
      <c r="G3985"/>
    </row>
    <row r="3986" spans="1:7" x14ac:dyDescent="0.25">
      <c r="A3986" s="48"/>
      <c r="E3986" s="54"/>
      <c r="F3986"/>
      <c r="G3986"/>
    </row>
    <row r="3987" spans="1:7" x14ac:dyDescent="0.25">
      <c r="A3987" s="48"/>
      <c r="E3987" s="54"/>
      <c r="F3987"/>
      <c r="G3987"/>
    </row>
    <row r="3988" spans="1:7" x14ac:dyDescent="0.25">
      <c r="A3988" s="48"/>
      <c r="E3988" s="54"/>
      <c r="F3988"/>
      <c r="G3988"/>
    </row>
    <row r="3989" spans="1:7" x14ac:dyDescent="0.25">
      <c r="A3989" s="48"/>
      <c r="E3989" s="54"/>
      <c r="F3989"/>
      <c r="G3989"/>
    </row>
    <row r="3990" spans="1:7" x14ac:dyDescent="0.25">
      <c r="A3990" s="39"/>
      <c r="E3990" s="54"/>
      <c r="F3990" s="2"/>
      <c r="G3990"/>
    </row>
    <row r="3991" spans="1:7" x14ac:dyDescent="0.25">
      <c r="A3991" s="39"/>
      <c r="E3991" s="54"/>
      <c r="F3991" s="2"/>
      <c r="G3991"/>
    </row>
    <row r="3992" spans="1:7" x14ac:dyDescent="0.25">
      <c r="A3992" s="48"/>
      <c r="E3992" s="54"/>
      <c r="F3992"/>
      <c r="G3992"/>
    </row>
    <row r="3993" spans="1:7" x14ac:dyDescent="0.25">
      <c r="A3993" s="48"/>
      <c r="E3993" s="54"/>
      <c r="F3993"/>
      <c r="G3993"/>
    </row>
    <row r="3994" spans="1:7" x14ac:dyDescent="0.25">
      <c r="A3994" s="48"/>
      <c r="E3994" s="54"/>
      <c r="F3994"/>
      <c r="G3994"/>
    </row>
    <row r="3995" spans="1:7" x14ac:dyDescent="0.25">
      <c r="A3995" s="48"/>
      <c r="E3995" s="54"/>
      <c r="F3995"/>
      <c r="G3995"/>
    </row>
    <row r="3996" spans="1:7" x14ac:dyDescent="0.25">
      <c r="A3996" s="48"/>
      <c r="E3996" s="54"/>
      <c r="F3996"/>
      <c r="G3996"/>
    </row>
    <row r="3997" spans="1:7" x14ac:dyDescent="0.25">
      <c r="A3997" s="48"/>
      <c r="E3997" s="54"/>
      <c r="F3997"/>
      <c r="G3997"/>
    </row>
    <row r="3998" spans="1:7" x14ac:dyDescent="0.25">
      <c r="A3998" s="48"/>
      <c r="E3998" s="54"/>
      <c r="F3998"/>
      <c r="G3998"/>
    </row>
    <row r="3999" spans="1:7" x14ac:dyDescent="0.25">
      <c r="A3999" s="48"/>
      <c r="E3999" s="54"/>
      <c r="F3999"/>
      <c r="G3999"/>
    </row>
    <row r="4000" spans="1:7" x14ac:dyDescent="0.25">
      <c r="A4000" s="48"/>
      <c r="E4000" s="54"/>
      <c r="F4000"/>
      <c r="G4000"/>
    </row>
    <row r="4001" spans="1:7" x14ac:dyDescent="0.25">
      <c r="A4001" s="48"/>
      <c r="E4001" s="54"/>
      <c r="F4001"/>
      <c r="G4001"/>
    </row>
    <row r="4002" spans="1:7" x14ac:dyDescent="0.25">
      <c r="A4002" s="48"/>
      <c r="E4002" s="54"/>
      <c r="F4002"/>
      <c r="G4002"/>
    </row>
    <row r="4003" spans="1:7" x14ac:dyDescent="0.25">
      <c r="A4003" s="48"/>
      <c r="E4003" s="54"/>
      <c r="F4003"/>
      <c r="G4003"/>
    </row>
    <row r="4004" spans="1:7" x14ac:dyDescent="0.25">
      <c r="A4004" s="48"/>
      <c r="E4004" s="54"/>
      <c r="F4004"/>
      <c r="G4004"/>
    </row>
    <row r="4005" spans="1:7" x14ac:dyDescent="0.25">
      <c r="A4005" s="48"/>
      <c r="E4005" s="54"/>
      <c r="F4005"/>
      <c r="G4005"/>
    </row>
    <row r="4006" spans="1:7" x14ac:dyDescent="0.25">
      <c r="A4006" s="48"/>
      <c r="E4006" s="54"/>
      <c r="F4006"/>
      <c r="G4006"/>
    </row>
    <row r="4007" spans="1:7" x14ac:dyDescent="0.25">
      <c r="A4007" s="48"/>
      <c r="E4007" s="54"/>
      <c r="F4007"/>
      <c r="G4007"/>
    </row>
    <row r="4008" spans="1:7" x14ac:dyDescent="0.25">
      <c r="A4008" s="48"/>
      <c r="E4008" s="54"/>
      <c r="F4008"/>
      <c r="G4008"/>
    </row>
    <row r="4009" spans="1:7" x14ac:dyDescent="0.25">
      <c r="A4009" s="48"/>
      <c r="E4009" s="54"/>
      <c r="F4009"/>
      <c r="G4009"/>
    </row>
    <row r="4010" spans="1:7" x14ac:dyDescent="0.25">
      <c r="A4010" s="48"/>
      <c r="E4010" s="54"/>
      <c r="F4010"/>
      <c r="G4010"/>
    </row>
    <row r="4011" spans="1:7" x14ac:dyDescent="0.25">
      <c r="A4011" s="48"/>
      <c r="E4011" s="54"/>
      <c r="F4011"/>
      <c r="G4011"/>
    </row>
    <row r="4012" spans="1:7" x14ac:dyDescent="0.25">
      <c r="A4012" s="48"/>
      <c r="E4012" s="54"/>
      <c r="F4012"/>
      <c r="G4012"/>
    </row>
    <row r="4013" spans="1:7" x14ac:dyDescent="0.25">
      <c r="A4013" s="48"/>
      <c r="E4013" s="54"/>
      <c r="F4013"/>
      <c r="G4013"/>
    </row>
    <row r="4014" spans="1:7" x14ac:dyDescent="0.25">
      <c r="A4014" s="48"/>
      <c r="E4014" s="54"/>
      <c r="F4014"/>
      <c r="G4014"/>
    </row>
    <row r="4015" spans="1:7" x14ac:dyDescent="0.25">
      <c r="A4015" s="48"/>
      <c r="E4015" s="54"/>
      <c r="F4015"/>
      <c r="G4015"/>
    </row>
    <row r="4016" spans="1:7" x14ac:dyDescent="0.25">
      <c r="A4016" s="48"/>
      <c r="E4016" s="54"/>
      <c r="F4016"/>
      <c r="G4016"/>
    </row>
    <row r="4017" spans="1:7" x14ac:dyDescent="0.25">
      <c r="A4017" s="48"/>
      <c r="E4017" s="54"/>
      <c r="F4017"/>
      <c r="G4017"/>
    </row>
    <row r="4018" spans="1:7" x14ac:dyDescent="0.25">
      <c r="A4018" s="48"/>
      <c r="E4018" s="54"/>
      <c r="F4018"/>
      <c r="G4018"/>
    </row>
    <row r="4019" spans="1:7" x14ac:dyDescent="0.25">
      <c r="A4019" s="48"/>
      <c r="E4019" s="54"/>
      <c r="F4019"/>
      <c r="G4019"/>
    </row>
    <row r="4020" spans="1:7" x14ac:dyDescent="0.25">
      <c r="A4020" s="48"/>
      <c r="E4020" s="54"/>
      <c r="F4020"/>
      <c r="G4020"/>
    </row>
    <row r="4021" spans="1:7" x14ac:dyDescent="0.25">
      <c r="A4021" s="48"/>
      <c r="E4021" s="54"/>
      <c r="F4021"/>
      <c r="G4021"/>
    </row>
    <row r="4022" spans="1:7" x14ac:dyDescent="0.25">
      <c r="A4022" s="48"/>
      <c r="E4022" s="54"/>
      <c r="F4022"/>
      <c r="G4022"/>
    </row>
    <row r="4023" spans="1:7" x14ac:dyDescent="0.25">
      <c r="A4023" s="48"/>
      <c r="E4023" s="54"/>
      <c r="F4023"/>
      <c r="G4023"/>
    </row>
    <row r="4024" spans="1:7" x14ac:dyDescent="0.25">
      <c r="A4024" s="48"/>
      <c r="E4024" s="54"/>
      <c r="F4024"/>
      <c r="G4024"/>
    </row>
    <row r="4025" spans="1:7" x14ac:dyDescent="0.25">
      <c r="A4025" s="48"/>
      <c r="E4025" s="54"/>
      <c r="F4025"/>
      <c r="G4025"/>
    </row>
    <row r="4026" spans="1:7" x14ac:dyDescent="0.25">
      <c r="A4026" s="48"/>
      <c r="E4026" s="54"/>
      <c r="F4026"/>
      <c r="G4026"/>
    </row>
    <row r="4027" spans="1:7" x14ac:dyDescent="0.25">
      <c r="A4027" s="48"/>
      <c r="E4027" s="54"/>
      <c r="F4027"/>
      <c r="G4027"/>
    </row>
    <row r="4028" spans="1:7" x14ac:dyDescent="0.25">
      <c r="A4028" s="48"/>
      <c r="E4028" s="54"/>
      <c r="F4028"/>
      <c r="G4028"/>
    </row>
    <row r="4029" spans="1:7" x14ac:dyDescent="0.25">
      <c r="A4029" s="48"/>
      <c r="E4029" s="54"/>
      <c r="F4029"/>
      <c r="G4029"/>
    </row>
    <row r="4030" spans="1:7" x14ac:dyDescent="0.25">
      <c r="A4030" s="48"/>
      <c r="E4030" s="54"/>
      <c r="F4030"/>
      <c r="G4030"/>
    </row>
    <row r="4031" spans="1:7" x14ac:dyDescent="0.25">
      <c r="A4031" s="48"/>
      <c r="E4031" s="54"/>
      <c r="F4031"/>
      <c r="G4031"/>
    </row>
    <row r="4032" spans="1:7" x14ac:dyDescent="0.25">
      <c r="A4032" s="48"/>
      <c r="E4032" s="54"/>
      <c r="F4032"/>
      <c r="G4032"/>
    </row>
    <row r="4033" spans="1:7" x14ac:dyDescent="0.25">
      <c r="A4033" s="48"/>
      <c r="E4033" s="54"/>
      <c r="F4033"/>
      <c r="G4033"/>
    </row>
    <row r="4034" spans="1:7" x14ac:dyDescent="0.25">
      <c r="A4034" s="48"/>
      <c r="E4034" s="54"/>
      <c r="F4034"/>
      <c r="G4034"/>
    </row>
    <row r="4035" spans="1:7" x14ac:dyDescent="0.25">
      <c r="A4035" s="48"/>
      <c r="E4035" s="54"/>
      <c r="F4035"/>
      <c r="G4035"/>
    </row>
    <row r="4036" spans="1:7" x14ac:dyDescent="0.25">
      <c r="A4036" s="48"/>
      <c r="E4036" s="54"/>
      <c r="F4036"/>
      <c r="G4036"/>
    </row>
    <row r="4037" spans="1:7" x14ac:dyDescent="0.25">
      <c r="A4037" s="48"/>
      <c r="E4037" s="54"/>
      <c r="F4037"/>
      <c r="G4037"/>
    </row>
    <row r="4038" spans="1:7" x14ac:dyDescent="0.25">
      <c r="A4038" s="48"/>
      <c r="E4038" s="54"/>
      <c r="F4038"/>
      <c r="G4038"/>
    </row>
    <row r="4039" spans="1:7" x14ac:dyDescent="0.25">
      <c r="A4039" s="48"/>
      <c r="E4039" s="54"/>
      <c r="F4039"/>
      <c r="G4039"/>
    </row>
    <row r="4040" spans="1:7" x14ac:dyDescent="0.25">
      <c r="A4040" s="48"/>
      <c r="E4040" s="54"/>
      <c r="F4040"/>
      <c r="G4040"/>
    </row>
    <row r="4041" spans="1:7" x14ac:dyDescent="0.25">
      <c r="A4041" s="48"/>
      <c r="E4041" s="54"/>
      <c r="F4041"/>
      <c r="G4041"/>
    </row>
    <row r="4042" spans="1:7" x14ac:dyDescent="0.25">
      <c r="A4042" s="48"/>
      <c r="E4042" s="54"/>
      <c r="F4042"/>
      <c r="G4042"/>
    </row>
    <row r="4043" spans="1:7" x14ac:dyDescent="0.25">
      <c r="A4043" s="48"/>
      <c r="E4043" s="54"/>
      <c r="F4043"/>
      <c r="G4043"/>
    </row>
    <row r="4044" spans="1:7" x14ac:dyDescent="0.25">
      <c r="A4044" s="48"/>
      <c r="E4044" s="54"/>
      <c r="F4044"/>
      <c r="G4044"/>
    </row>
    <row r="4045" spans="1:7" x14ac:dyDescent="0.25">
      <c r="A4045" s="48"/>
      <c r="E4045" s="54"/>
      <c r="F4045"/>
      <c r="G4045"/>
    </row>
    <row r="4046" spans="1:7" x14ac:dyDescent="0.25">
      <c r="A4046" s="48"/>
      <c r="E4046" s="54"/>
      <c r="F4046"/>
      <c r="G4046"/>
    </row>
    <row r="4047" spans="1:7" x14ac:dyDescent="0.25">
      <c r="A4047" s="48"/>
      <c r="E4047" s="54"/>
      <c r="F4047"/>
      <c r="G4047"/>
    </row>
    <row r="4048" spans="1:7" x14ac:dyDescent="0.25">
      <c r="A4048" s="48"/>
      <c r="E4048" s="54"/>
      <c r="F4048"/>
      <c r="G4048"/>
    </row>
    <row r="4049" spans="1:7" x14ac:dyDescent="0.25">
      <c r="A4049" s="48"/>
      <c r="E4049" s="54"/>
      <c r="F4049"/>
      <c r="G4049"/>
    </row>
    <row r="4050" spans="1:7" x14ac:dyDescent="0.25">
      <c r="A4050" s="48"/>
      <c r="E4050" s="54"/>
      <c r="F4050"/>
      <c r="G4050"/>
    </row>
    <row r="4051" spans="1:7" x14ac:dyDescent="0.25">
      <c r="A4051" s="48"/>
      <c r="E4051" s="54"/>
      <c r="F4051"/>
      <c r="G4051"/>
    </row>
    <row r="4052" spans="1:7" x14ac:dyDescent="0.25">
      <c r="A4052" s="48"/>
      <c r="E4052" s="54"/>
      <c r="F4052"/>
      <c r="G4052"/>
    </row>
    <row r="4053" spans="1:7" x14ac:dyDescent="0.25">
      <c r="A4053" s="48"/>
      <c r="E4053" s="54"/>
      <c r="F4053"/>
      <c r="G4053"/>
    </row>
    <row r="4054" spans="1:7" x14ac:dyDescent="0.25">
      <c r="A4054" s="48"/>
      <c r="E4054" s="54"/>
      <c r="F4054"/>
      <c r="G4054"/>
    </row>
    <row r="4055" spans="1:7" x14ac:dyDescent="0.25">
      <c r="A4055" s="48"/>
      <c r="E4055" s="54"/>
      <c r="F4055"/>
      <c r="G4055"/>
    </row>
    <row r="4056" spans="1:7" x14ac:dyDescent="0.25">
      <c r="A4056" s="48"/>
      <c r="E4056" s="54"/>
      <c r="F4056"/>
      <c r="G4056"/>
    </row>
    <row r="4057" spans="1:7" x14ac:dyDescent="0.25">
      <c r="A4057" s="48"/>
      <c r="E4057" s="54"/>
      <c r="F4057"/>
      <c r="G4057"/>
    </row>
    <row r="4058" spans="1:7" x14ac:dyDescent="0.25">
      <c r="A4058" s="48"/>
      <c r="E4058" s="54"/>
      <c r="F4058"/>
      <c r="G4058"/>
    </row>
    <row r="4059" spans="1:7" x14ac:dyDescent="0.25">
      <c r="A4059" s="48"/>
      <c r="E4059" s="54"/>
      <c r="F4059"/>
      <c r="G4059"/>
    </row>
    <row r="4060" spans="1:7" x14ac:dyDescent="0.25">
      <c r="A4060" s="48"/>
      <c r="E4060" s="54"/>
      <c r="F4060"/>
      <c r="G4060"/>
    </row>
    <row r="4061" spans="1:7" x14ac:dyDescent="0.25">
      <c r="A4061" s="48"/>
      <c r="E4061" s="54"/>
      <c r="F4061"/>
      <c r="G4061"/>
    </row>
    <row r="4062" spans="1:7" x14ac:dyDescent="0.25">
      <c r="A4062" s="48"/>
      <c r="E4062" s="54"/>
      <c r="F4062"/>
      <c r="G4062"/>
    </row>
    <row r="4063" spans="1:7" x14ac:dyDescent="0.25">
      <c r="A4063" s="48"/>
      <c r="E4063" s="54"/>
      <c r="F4063"/>
      <c r="G4063"/>
    </row>
    <row r="4064" spans="1:7" x14ac:dyDescent="0.25">
      <c r="A4064" s="48"/>
      <c r="E4064" s="54"/>
      <c r="F4064"/>
      <c r="G4064"/>
    </row>
    <row r="4065" spans="1:7" x14ac:dyDescent="0.25">
      <c r="A4065" s="48"/>
      <c r="E4065" s="54"/>
      <c r="F4065"/>
      <c r="G4065"/>
    </row>
    <row r="4066" spans="1:7" x14ac:dyDescent="0.25">
      <c r="A4066" s="48"/>
      <c r="E4066" s="54"/>
      <c r="F4066"/>
      <c r="G4066"/>
    </row>
    <row r="4067" spans="1:7" x14ac:dyDescent="0.25">
      <c r="A4067" s="48"/>
      <c r="E4067" s="54"/>
      <c r="F4067"/>
      <c r="G4067"/>
    </row>
    <row r="4068" spans="1:7" x14ac:dyDescent="0.25">
      <c r="A4068" s="48"/>
      <c r="E4068" s="54"/>
      <c r="F4068"/>
      <c r="G4068"/>
    </row>
    <row r="4069" spans="1:7" x14ac:dyDescent="0.25">
      <c r="A4069" s="48"/>
      <c r="E4069" s="54"/>
      <c r="F4069"/>
      <c r="G4069"/>
    </row>
    <row r="4070" spans="1:7" x14ac:dyDescent="0.25">
      <c r="A4070" s="48"/>
      <c r="E4070" s="54"/>
      <c r="F4070"/>
      <c r="G4070"/>
    </row>
    <row r="4071" spans="1:7" x14ac:dyDescent="0.25">
      <c r="A4071" s="48"/>
      <c r="E4071" s="54"/>
      <c r="F4071"/>
      <c r="G4071"/>
    </row>
    <row r="4072" spans="1:7" x14ac:dyDescent="0.25">
      <c r="A4072" s="48"/>
      <c r="E4072" s="54"/>
      <c r="F4072"/>
      <c r="G4072"/>
    </row>
    <row r="4073" spans="1:7" x14ac:dyDescent="0.25">
      <c r="A4073" s="48"/>
      <c r="E4073" s="54"/>
      <c r="F4073"/>
      <c r="G4073"/>
    </row>
    <row r="4074" spans="1:7" x14ac:dyDescent="0.25">
      <c r="A4074" s="48"/>
      <c r="E4074" s="54"/>
      <c r="F4074"/>
      <c r="G4074"/>
    </row>
    <row r="4075" spans="1:7" x14ac:dyDescent="0.25">
      <c r="A4075" s="48"/>
      <c r="E4075" s="54"/>
      <c r="F4075"/>
      <c r="G4075"/>
    </row>
    <row r="4076" spans="1:7" x14ac:dyDescent="0.25">
      <c r="A4076" s="48"/>
      <c r="E4076" s="54"/>
      <c r="F4076"/>
      <c r="G4076"/>
    </row>
    <row r="4077" spans="1:7" x14ac:dyDescent="0.25">
      <c r="A4077" s="48"/>
      <c r="E4077" s="54"/>
      <c r="F4077"/>
      <c r="G4077"/>
    </row>
    <row r="4078" spans="1:7" x14ac:dyDescent="0.25">
      <c r="A4078" s="48"/>
      <c r="E4078" s="54"/>
      <c r="F4078"/>
      <c r="G4078"/>
    </row>
    <row r="4079" spans="1:7" x14ac:dyDescent="0.25">
      <c r="A4079" s="48"/>
      <c r="E4079" s="54"/>
      <c r="F4079"/>
      <c r="G4079"/>
    </row>
    <row r="4080" spans="1:7" x14ac:dyDescent="0.25">
      <c r="A4080" s="48"/>
      <c r="E4080" s="54"/>
      <c r="F4080"/>
      <c r="G4080"/>
    </row>
    <row r="4081" spans="1:7" x14ac:dyDescent="0.25">
      <c r="A4081" s="48"/>
      <c r="E4081" s="54"/>
      <c r="F4081"/>
      <c r="G4081"/>
    </row>
    <row r="4082" spans="1:7" x14ac:dyDescent="0.25">
      <c r="A4082" s="48"/>
      <c r="E4082" s="54"/>
      <c r="F4082"/>
      <c r="G4082"/>
    </row>
    <row r="4083" spans="1:7" x14ac:dyDescent="0.25">
      <c r="A4083" s="48"/>
      <c r="E4083" s="54"/>
      <c r="F4083"/>
      <c r="G4083"/>
    </row>
    <row r="4084" spans="1:7" x14ac:dyDescent="0.25">
      <c r="A4084" s="48"/>
      <c r="E4084" s="54"/>
      <c r="F4084"/>
      <c r="G4084"/>
    </row>
    <row r="4085" spans="1:7" x14ac:dyDescent="0.25">
      <c r="A4085" s="48"/>
      <c r="E4085" s="54"/>
      <c r="F4085"/>
      <c r="G4085"/>
    </row>
    <row r="4086" spans="1:7" x14ac:dyDescent="0.25">
      <c r="A4086" s="48"/>
      <c r="E4086" s="54"/>
      <c r="F4086"/>
      <c r="G4086"/>
    </row>
    <row r="4087" spans="1:7" x14ac:dyDescent="0.25">
      <c r="A4087" s="48"/>
      <c r="E4087" s="54"/>
      <c r="F4087"/>
      <c r="G4087"/>
    </row>
    <row r="4088" spans="1:7" x14ac:dyDescent="0.25">
      <c r="A4088" s="48"/>
      <c r="E4088" s="54"/>
      <c r="F4088"/>
      <c r="G4088"/>
    </row>
    <row r="4089" spans="1:7" x14ac:dyDescent="0.25">
      <c r="A4089" s="48"/>
      <c r="E4089" s="54"/>
      <c r="F4089"/>
      <c r="G4089"/>
    </row>
    <row r="4090" spans="1:7" x14ac:dyDescent="0.25">
      <c r="A4090" s="48"/>
      <c r="E4090" s="54"/>
      <c r="F4090"/>
      <c r="G4090"/>
    </row>
    <row r="4091" spans="1:7" x14ac:dyDescent="0.25">
      <c r="A4091" s="48"/>
      <c r="E4091" s="54"/>
      <c r="F4091"/>
      <c r="G4091"/>
    </row>
    <row r="4092" spans="1:7" x14ac:dyDescent="0.25">
      <c r="A4092" s="48"/>
      <c r="E4092" s="54"/>
      <c r="F4092"/>
      <c r="G4092"/>
    </row>
    <row r="4093" spans="1:7" x14ac:dyDescent="0.25">
      <c r="A4093" s="48"/>
      <c r="E4093" s="54"/>
      <c r="F4093"/>
      <c r="G4093"/>
    </row>
    <row r="4094" spans="1:7" x14ac:dyDescent="0.25">
      <c r="A4094" s="48"/>
      <c r="E4094" s="54"/>
      <c r="F4094"/>
      <c r="G4094"/>
    </row>
    <row r="4095" spans="1:7" x14ac:dyDescent="0.25">
      <c r="A4095" s="48"/>
      <c r="E4095" s="54"/>
      <c r="F4095"/>
      <c r="G4095"/>
    </row>
    <row r="4096" spans="1:7" x14ac:dyDescent="0.25">
      <c r="A4096" s="48"/>
      <c r="E4096" s="54"/>
      <c r="F4096"/>
      <c r="G4096"/>
    </row>
    <row r="4097" spans="1:7" x14ac:dyDescent="0.25">
      <c r="A4097" s="48"/>
      <c r="E4097" s="54"/>
      <c r="F4097"/>
      <c r="G4097"/>
    </row>
    <row r="4098" spans="1:7" x14ac:dyDescent="0.25">
      <c r="A4098" s="48"/>
      <c r="E4098" s="54"/>
      <c r="F4098"/>
      <c r="G4098"/>
    </row>
    <row r="4099" spans="1:7" x14ac:dyDescent="0.25">
      <c r="A4099" s="48"/>
      <c r="E4099" s="54"/>
      <c r="F4099"/>
      <c r="G4099"/>
    </row>
    <row r="4100" spans="1:7" x14ac:dyDescent="0.25">
      <c r="A4100" s="48"/>
      <c r="E4100" s="54"/>
      <c r="F4100"/>
      <c r="G4100"/>
    </row>
    <row r="4101" spans="1:7" x14ac:dyDescent="0.25">
      <c r="A4101" s="48"/>
      <c r="E4101" s="54"/>
      <c r="F4101"/>
      <c r="G4101"/>
    </row>
    <row r="4102" spans="1:7" x14ac:dyDescent="0.25">
      <c r="A4102" s="48"/>
      <c r="E4102" s="54"/>
      <c r="F4102"/>
      <c r="G4102"/>
    </row>
    <row r="4103" spans="1:7" x14ac:dyDescent="0.25">
      <c r="A4103" s="45"/>
      <c r="E4103" s="54"/>
      <c r="F4103"/>
      <c r="G4103"/>
    </row>
    <row r="4104" spans="1:7" x14ac:dyDescent="0.25">
      <c r="A4104" s="45"/>
      <c r="E4104" s="54"/>
      <c r="F4104"/>
      <c r="G4104"/>
    </row>
    <row r="4105" spans="1:7" x14ac:dyDescent="0.25">
      <c r="A4105" s="45"/>
      <c r="E4105" s="54"/>
      <c r="F4105"/>
      <c r="G4105"/>
    </row>
    <row r="4106" spans="1:7" x14ac:dyDescent="0.25">
      <c r="A4106" s="45"/>
      <c r="E4106" s="54"/>
      <c r="F4106"/>
      <c r="G4106"/>
    </row>
    <row r="4107" spans="1:7" x14ac:dyDescent="0.25">
      <c r="A4107" s="45"/>
      <c r="E4107" s="54"/>
      <c r="F4107"/>
      <c r="G4107"/>
    </row>
    <row r="4108" spans="1:7" x14ac:dyDescent="0.25">
      <c r="A4108" s="45"/>
      <c r="E4108" s="54"/>
      <c r="F4108"/>
      <c r="G4108"/>
    </row>
    <row r="4109" spans="1:7" x14ac:dyDescent="0.25">
      <c r="A4109" s="45"/>
      <c r="E4109" s="54"/>
      <c r="F4109"/>
      <c r="G4109"/>
    </row>
    <row r="4110" spans="1:7" x14ac:dyDescent="0.25">
      <c r="A4110" s="45"/>
      <c r="E4110" s="54"/>
      <c r="F4110"/>
      <c r="G4110"/>
    </row>
    <row r="4111" spans="1:7" x14ac:dyDescent="0.25">
      <c r="A4111" s="45"/>
      <c r="E4111" s="54"/>
      <c r="F4111"/>
      <c r="G4111"/>
    </row>
    <row r="4112" spans="1:7" x14ac:dyDescent="0.25">
      <c r="A4112" s="45"/>
      <c r="E4112" s="54"/>
      <c r="F4112"/>
      <c r="G4112"/>
    </row>
    <row r="4113" spans="1:7" x14ac:dyDescent="0.25">
      <c r="A4113" s="45"/>
      <c r="E4113" s="54"/>
      <c r="F4113"/>
      <c r="G4113"/>
    </row>
    <row r="4114" spans="1:7" x14ac:dyDescent="0.25">
      <c r="A4114" s="45"/>
      <c r="E4114" s="54"/>
      <c r="F4114"/>
      <c r="G4114"/>
    </row>
    <row r="4115" spans="1:7" x14ac:dyDescent="0.25">
      <c r="A4115" s="45"/>
      <c r="E4115" s="54"/>
      <c r="F4115"/>
      <c r="G4115"/>
    </row>
    <row r="4116" spans="1:7" x14ac:dyDescent="0.25">
      <c r="A4116" s="45"/>
      <c r="E4116" s="54"/>
      <c r="F4116"/>
      <c r="G4116"/>
    </row>
    <row r="4117" spans="1:7" x14ac:dyDescent="0.25">
      <c r="A4117" s="45"/>
      <c r="E4117" s="54"/>
      <c r="F4117"/>
      <c r="G4117"/>
    </row>
    <row r="4118" spans="1:7" x14ac:dyDescent="0.25">
      <c r="A4118" s="45"/>
      <c r="E4118" s="54"/>
      <c r="F4118"/>
      <c r="G4118"/>
    </row>
    <row r="4119" spans="1:7" x14ac:dyDescent="0.25">
      <c r="A4119" s="45"/>
      <c r="E4119" s="54"/>
      <c r="F4119"/>
      <c r="G4119"/>
    </row>
    <row r="4120" spans="1:7" x14ac:dyDescent="0.25">
      <c r="A4120" s="45"/>
      <c r="E4120" s="54"/>
      <c r="F4120"/>
      <c r="G4120"/>
    </row>
    <row r="4121" spans="1:7" x14ac:dyDescent="0.25">
      <c r="A4121" s="45"/>
      <c r="E4121" s="54"/>
      <c r="F4121"/>
      <c r="G4121"/>
    </row>
    <row r="4122" spans="1:7" x14ac:dyDescent="0.25">
      <c r="A4122" s="45"/>
      <c r="E4122" s="54"/>
      <c r="F4122"/>
      <c r="G4122"/>
    </row>
    <row r="4123" spans="1:7" x14ac:dyDescent="0.25">
      <c r="A4123" s="45"/>
      <c r="E4123" s="54"/>
      <c r="F4123"/>
      <c r="G4123"/>
    </row>
    <row r="4124" spans="1:7" x14ac:dyDescent="0.25">
      <c r="A4124" s="45"/>
      <c r="E4124" s="54"/>
      <c r="F4124"/>
      <c r="G4124"/>
    </row>
    <row r="4125" spans="1:7" x14ac:dyDescent="0.25">
      <c r="A4125" s="45"/>
      <c r="E4125" s="54"/>
      <c r="F4125"/>
      <c r="G4125"/>
    </row>
    <row r="4126" spans="1:7" x14ac:dyDescent="0.25">
      <c r="A4126" s="45"/>
      <c r="E4126" s="54"/>
      <c r="F4126"/>
      <c r="G4126"/>
    </row>
    <row r="4127" spans="1:7" x14ac:dyDescent="0.25">
      <c r="A4127" s="45"/>
      <c r="E4127" s="54"/>
      <c r="F4127"/>
      <c r="G4127"/>
    </row>
    <row r="4128" spans="1:7" x14ac:dyDescent="0.25">
      <c r="A4128" s="45"/>
      <c r="E4128" s="54"/>
      <c r="F4128"/>
      <c r="G4128"/>
    </row>
    <row r="4129" spans="1:7" x14ac:dyDescent="0.25">
      <c r="A4129" s="45"/>
      <c r="E4129" s="54"/>
      <c r="F4129"/>
      <c r="G4129"/>
    </row>
    <row r="4130" spans="1:7" x14ac:dyDescent="0.25">
      <c r="A4130" s="45"/>
      <c r="E4130" s="54"/>
      <c r="F4130"/>
      <c r="G4130"/>
    </row>
    <row r="4131" spans="1:7" x14ac:dyDescent="0.25">
      <c r="A4131" s="45"/>
      <c r="E4131" s="54"/>
      <c r="F4131"/>
      <c r="G4131"/>
    </row>
    <row r="4132" spans="1:7" x14ac:dyDescent="0.25">
      <c r="A4132" s="45"/>
      <c r="E4132" s="54"/>
      <c r="F4132"/>
      <c r="G4132"/>
    </row>
    <row r="4133" spans="1:7" x14ac:dyDescent="0.25">
      <c r="A4133" s="45"/>
      <c r="E4133" s="54"/>
      <c r="F4133"/>
      <c r="G4133"/>
    </row>
    <row r="4134" spans="1:7" x14ac:dyDescent="0.25">
      <c r="A4134" s="45"/>
      <c r="E4134" s="54"/>
      <c r="F4134"/>
      <c r="G4134"/>
    </row>
    <row r="4135" spans="1:7" x14ac:dyDescent="0.25">
      <c r="A4135" s="45"/>
      <c r="E4135" s="54"/>
      <c r="F4135"/>
      <c r="G4135"/>
    </row>
    <row r="4136" spans="1:7" x14ac:dyDescent="0.25">
      <c r="A4136" s="45"/>
      <c r="E4136" s="54"/>
      <c r="F4136"/>
      <c r="G4136"/>
    </row>
    <row r="4137" spans="1:7" x14ac:dyDescent="0.25">
      <c r="A4137" s="45"/>
      <c r="E4137" s="54"/>
      <c r="F4137"/>
      <c r="G4137"/>
    </row>
    <row r="4138" spans="1:7" x14ac:dyDescent="0.25">
      <c r="A4138" s="45"/>
      <c r="E4138" s="54"/>
      <c r="F4138"/>
      <c r="G4138"/>
    </row>
    <row r="4139" spans="1:7" x14ac:dyDescent="0.25">
      <c r="A4139" s="45"/>
      <c r="E4139" s="54"/>
      <c r="F4139"/>
      <c r="G4139"/>
    </row>
    <row r="4140" spans="1:7" x14ac:dyDescent="0.25">
      <c r="A4140" s="45"/>
      <c r="E4140" s="54"/>
      <c r="F4140"/>
      <c r="G4140"/>
    </row>
    <row r="4141" spans="1:7" x14ac:dyDescent="0.25">
      <c r="A4141" s="45"/>
      <c r="E4141" s="54"/>
      <c r="F4141"/>
      <c r="G4141"/>
    </row>
    <row r="4142" spans="1:7" x14ac:dyDescent="0.25">
      <c r="A4142" s="45"/>
      <c r="E4142" s="54"/>
      <c r="F4142"/>
      <c r="G4142"/>
    </row>
    <row r="4143" spans="1:7" x14ac:dyDescent="0.25">
      <c r="A4143" s="45"/>
      <c r="E4143" s="54"/>
      <c r="F4143"/>
      <c r="G4143"/>
    </row>
    <row r="4144" spans="1:7" x14ac:dyDescent="0.25">
      <c r="A4144" s="45"/>
      <c r="E4144" s="54"/>
      <c r="F4144"/>
      <c r="G4144"/>
    </row>
    <row r="4145" spans="1:7" x14ac:dyDescent="0.25">
      <c r="A4145" s="45"/>
      <c r="E4145" s="54"/>
      <c r="F4145"/>
      <c r="G4145"/>
    </row>
    <row r="4146" spans="1:7" x14ac:dyDescent="0.25">
      <c r="A4146" s="45"/>
      <c r="E4146" s="54"/>
      <c r="F4146"/>
      <c r="G4146"/>
    </row>
    <row r="4147" spans="1:7" x14ac:dyDescent="0.25">
      <c r="A4147" s="45"/>
      <c r="E4147" s="54"/>
      <c r="F4147"/>
      <c r="G4147"/>
    </row>
    <row r="4148" spans="1:7" x14ac:dyDescent="0.25">
      <c r="A4148" s="45"/>
      <c r="E4148" s="54"/>
      <c r="F4148"/>
      <c r="G4148"/>
    </row>
    <row r="4149" spans="1:7" x14ac:dyDescent="0.25">
      <c r="A4149" s="45"/>
      <c r="E4149" s="54"/>
      <c r="F4149"/>
      <c r="G4149"/>
    </row>
    <row r="4150" spans="1:7" x14ac:dyDescent="0.25">
      <c r="A4150" s="45"/>
      <c r="E4150" s="54"/>
      <c r="F4150"/>
      <c r="G4150"/>
    </row>
    <row r="4151" spans="1:7" x14ac:dyDescent="0.25">
      <c r="A4151" s="45"/>
      <c r="E4151" s="54"/>
      <c r="F4151"/>
      <c r="G4151"/>
    </row>
    <row r="4152" spans="1:7" x14ac:dyDescent="0.25">
      <c r="A4152" s="45"/>
      <c r="E4152" s="54"/>
      <c r="F4152"/>
      <c r="G4152"/>
    </row>
    <row r="4153" spans="1:7" x14ac:dyDescent="0.25">
      <c r="A4153" s="45"/>
      <c r="E4153" s="54"/>
      <c r="F4153"/>
      <c r="G4153"/>
    </row>
    <row r="4154" spans="1:7" x14ac:dyDescent="0.25">
      <c r="A4154" s="45"/>
      <c r="E4154" s="54"/>
      <c r="F4154"/>
      <c r="G4154"/>
    </row>
    <row r="4155" spans="1:7" x14ac:dyDescent="0.25">
      <c r="A4155" s="45"/>
      <c r="E4155" s="54"/>
      <c r="F4155"/>
      <c r="G4155"/>
    </row>
    <row r="4156" spans="1:7" x14ac:dyDescent="0.25">
      <c r="A4156" s="45"/>
      <c r="E4156" s="54"/>
      <c r="F4156"/>
      <c r="G4156"/>
    </row>
    <row r="4157" spans="1:7" x14ac:dyDescent="0.25">
      <c r="A4157" s="45"/>
      <c r="E4157" s="54"/>
      <c r="F4157"/>
      <c r="G4157"/>
    </row>
    <row r="4158" spans="1:7" x14ac:dyDescent="0.25">
      <c r="A4158" s="45"/>
      <c r="E4158" s="54"/>
      <c r="F4158"/>
      <c r="G4158"/>
    </row>
    <row r="4159" spans="1:7" x14ac:dyDescent="0.25">
      <c r="A4159" s="45"/>
      <c r="E4159" s="54"/>
      <c r="F4159"/>
      <c r="G4159"/>
    </row>
    <row r="4160" spans="1:7" x14ac:dyDescent="0.25">
      <c r="A4160" s="45"/>
      <c r="E4160" s="54"/>
      <c r="F4160"/>
      <c r="G4160"/>
    </row>
    <row r="4161" spans="1:7" x14ac:dyDescent="0.25">
      <c r="A4161" s="45"/>
      <c r="E4161" s="54"/>
      <c r="F4161"/>
      <c r="G4161"/>
    </row>
    <row r="4162" spans="1:7" x14ac:dyDescent="0.25">
      <c r="A4162" s="45"/>
      <c r="E4162" s="54"/>
      <c r="F4162"/>
      <c r="G4162"/>
    </row>
    <row r="4163" spans="1:7" x14ac:dyDescent="0.25">
      <c r="A4163" s="45"/>
      <c r="E4163" s="54"/>
      <c r="F4163"/>
      <c r="G4163"/>
    </row>
    <row r="4164" spans="1:7" x14ac:dyDescent="0.25">
      <c r="A4164" s="45"/>
      <c r="E4164" s="54"/>
      <c r="F4164"/>
      <c r="G4164"/>
    </row>
    <row r="4165" spans="1:7" x14ac:dyDescent="0.25">
      <c r="A4165" s="45"/>
      <c r="E4165" s="54"/>
      <c r="F4165"/>
      <c r="G4165"/>
    </row>
    <row r="4166" spans="1:7" x14ac:dyDescent="0.25">
      <c r="A4166" s="45"/>
      <c r="E4166" s="54"/>
      <c r="F4166"/>
      <c r="G4166"/>
    </row>
    <row r="4167" spans="1:7" x14ac:dyDescent="0.25">
      <c r="E4167" s="54"/>
      <c r="G4167"/>
    </row>
    <row r="4168" spans="1:7" x14ac:dyDescent="0.25">
      <c r="A4168" s="39"/>
      <c r="E4168" s="54"/>
      <c r="F4168"/>
      <c r="G4168"/>
    </row>
    <row r="4169" spans="1:7" x14ac:dyDescent="0.25">
      <c r="E4169" s="54"/>
      <c r="G4169"/>
    </row>
    <row r="4170" spans="1:7" x14ac:dyDescent="0.25">
      <c r="E4170" s="54"/>
      <c r="G4170"/>
    </row>
    <row r="4171" spans="1:7" x14ac:dyDescent="0.25">
      <c r="A4171" s="39"/>
      <c r="E4171" s="54"/>
      <c r="F4171"/>
      <c r="G4171"/>
    </row>
    <row r="4172" spans="1:7" x14ac:dyDescent="0.25">
      <c r="A4172" s="40"/>
      <c r="E4172" s="54"/>
      <c r="G4172"/>
    </row>
    <row r="4173" spans="1:7" x14ac:dyDescent="0.25">
      <c r="A4173" s="39"/>
      <c r="E4173" s="54"/>
      <c r="F4173"/>
      <c r="G4173"/>
    </row>
    <row r="4174" spans="1:7" x14ac:dyDescent="0.25">
      <c r="A4174" s="45"/>
      <c r="E4174" s="54"/>
      <c r="F4174"/>
      <c r="G4174"/>
    </row>
    <row r="4175" spans="1:7" x14ac:dyDescent="0.25">
      <c r="A4175" s="45"/>
      <c r="E4175" s="54"/>
      <c r="F4175"/>
      <c r="G4175"/>
    </row>
    <row r="4176" spans="1:7" x14ac:dyDescent="0.25">
      <c r="E4176" s="54"/>
      <c r="G4176"/>
    </row>
    <row r="4177" spans="1:7" x14ac:dyDescent="0.25">
      <c r="A4177" s="48"/>
      <c r="E4177" s="54"/>
      <c r="F4177"/>
      <c r="G4177"/>
    </row>
    <row r="4178" spans="1:7" x14ac:dyDescent="0.25">
      <c r="E4178" s="54"/>
      <c r="G4178"/>
    </row>
    <row r="4179" spans="1:7" x14ac:dyDescent="0.25">
      <c r="E4179" s="54"/>
      <c r="G4179"/>
    </row>
    <row r="4180" spans="1:7" x14ac:dyDescent="0.25">
      <c r="A4180" s="40"/>
      <c r="E4180" s="54"/>
      <c r="G4180"/>
    </row>
    <row r="4181" spans="1:7" x14ac:dyDescent="0.25">
      <c r="A4181" s="40"/>
      <c r="E4181" s="54"/>
      <c r="G4181"/>
    </row>
    <row r="4182" spans="1:7" x14ac:dyDescent="0.25">
      <c r="C4182" s="57"/>
      <c r="E4182" s="54"/>
      <c r="G4182"/>
    </row>
    <row r="4183" spans="1:7" x14ac:dyDescent="0.25">
      <c r="C4183" s="57"/>
      <c r="E4183" s="54"/>
      <c r="G4183"/>
    </row>
    <row r="4184" spans="1:7" x14ac:dyDescent="0.25">
      <c r="C4184" s="57"/>
      <c r="E4184" s="54"/>
      <c r="G4184"/>
    </row>
    <row r="4185" spans="1:7" x14ac:dyDescent="0.25">
      <c r="C4185" s="57"/>
      <c r="E4185" s="54"/>
      <c r="G4185"/>
    </row>
    <row r="4186" spans="1:7" x14ac:dyDescent="0.25">
      <c r="C4186" s="57"/>
      <c r="E4186" s="54"/>
      <c r="G4186"/>
    </row>
    <row r="4187" spans="1:7" x14ac:dyDescent="0.25">
      <c r="E4187" s="54"/>
      <c r="G4187"/>
    </row>
    <row r="4188" spans="1:7" x14ac:dyDescent="0.25">
      <c r="E4188" s="54"/>
      <c r="G4188"/>
    </row>
    <row r="4189" spans="1:7" x14ac:dyDescent="0.25">
      <c r="E4189" s="54"/>
      <c r="G4189"/>
    </row>
    <row r="4190" spans="1:7" x14ac:dyDescent="0.25">
      <c r="E4190" s="54"/>
      <c r="G4190"/>
    </row>
    <row r="4191" spans="1:7" x14ac:dyDescent="0.25">
      <c r="E4191" s="54"/>
      <c r="G4191"/>
    </row>
    <row r="4192" spans="1:7" x14ac:dyDescent="0.25">
      <c r="E4192" s="54"/>
      <c r="G4192"/>
    </row>
    <row r="4193" spans="5:7" x14ac:dyDescent="0.25">
      <c r="E4193" s="54"/>
      <c r="G4193"/>
    </row>
    <row r="4194" spans="5:7" x14ac:dyDescent="0.25">
      <c r="E4194" s="54"/>
      <c r="G4194"/>
    </row>
    <row r="4195" spans="5:7" x14ac:dyDescent="0.25">
      <c r="E4195" s="54"/>
      <c r="G4195"/>
    </row>
    <row r="4196" spans="5:7" x14ac:dyDescent="0.25">
      <c r="E4196" s="54"/>
      <c r="G4196"/>
    </row>
    <row r="4197" spans="5:7" x14ac:dyDescent="0.25">
      <c r="E4197" s="54"/>
      <c r="G4197"/>
    </row>
    <row r="4198" spans="5:7" x14ac:dyDescent="0.25">
      <c r="E4198" s="54"/>
      <c r="G4198"/>
    </row>
    <row r="4199" spans="5:7" x14ac:dyDescent="0.25">
      <c r="E4199" s="54"/>
      <c r="G4199"/>
    </row>
    <row r="4200" spans="5:7" x14ac:dyDescent="0.25">
      <c r="E4200" s="54"/>
      <c r="G4200"/>
    </row>
    <row r="4201" spans="5:7" x14ac:dyDescent="0.25">
      <c r="E4201" s="54"/>
      <c r="G4201"/>
    </row>
    <row r="4202" spans="5:7" x14ac:dyDescent="0.25">
      <c r="E4202" s="54"/>
      <c r="G4202"/>
    </row>
    <row r="4203" spans="5:7" x14ac:dyDescent="0.25">
      <c r="E4203" s="54"/>
      <c r="G4203"/>
    </row>
    <row r="4204" spans="5:7" x14ac:dyDescent="0.25">
      <c r="E4204" s="54"/>
      <c r="G4204"/>
    </row>
    <row r="4205" spans="5:7" x14ac:dyDescent="0.25">
      <c r="E4205" s="54"/>
      <c r="G4205"/>
    </row>
    <row r="4206" spans="5:7" x14ac:dyDescent="0.25">
      <c r="E4206" s="54"/>
      <c r="G4206"/>
    </row>
    <row r="4207" spans="5:7" x14ac:dyDescent="0.25">
      <c r="E4207" s="54"/>
      <c r="G4207"/>
    </row>
    <row r="4208" spans="5:7" x14ac:dyDescent="0.25">
      <c r="E4208" s="54"/>
      <c r="G4208"/>
    </row>
    <row r="4209" spans="1:7" x14ac:dyDescent="0.25">
      <c r="E4209" s="54"/>
      <c r="G4209"/>
    </row>
    <row r="4210" spans="1:7" x14ac:dyDescent="0.25">
      <c r="E4210" s="54"/>
      <c r="G4210"/>
    </row>
    <row r="4211" spans="1:7" x14ac:dyDescent="0.25">
      <c r="A4211" s="40"/>
      <c r="E4211" s="54"/>
      <c r="G4211"/>
    </row>
    <row r="4212" spans="1:7" x14ac:dyDescent="0.25">
      <c r="A4212" s="39"/>
      <c r="E4212" s="54"/>
      <c r="G4212"/>
    </row>
    <row r="4213" spans="1:7" x14ac:dyDescent="0.25">
      <c r="E4213" s="54"/>
      <c r="G4213"/>
    </row>
    <row r="4214" spans="1:7" x14ac:dyDescent="0.25">
      <c r="E4214" s="54"/>
      <c r="G4214"/>
    </row>
    <row r="4215" spans="1:7" x14ac:dyDescent="0.25">
      <c r="E4215" s="54"/>
      <c r="G4215"/>
    </row>
    <row r="4216" spans="1:7" x14ac:dyDescent="0.25">
      <c r="E4216" s="54"/>
      <c r="G4216"/>
    </row>
    <row r="4217" spans="1:7" x14ac:dyDescent="0.25">
      <c r="E4217" s="54"/>
      <c r="G4217"/>
    </row>
    <row r="4218" spans="1:7" x14ac:dyDescent="0.25">
      <c r="E4218" s="54"/>
      <c r="G4218"/>
    </row>
    <row r="4219" spans="1:7" x14ac:dyDescent="0.25">
      <c r="E4219" s="54"/>
      <c r="G4219"/>
    </row>
    <row r="4220" spans="1:7" x14ac:dyDescent="0.25">
      <c r="E4220" s="54"/>
      <c r="G4220"/>
    </row>
    <row r="4221" spans="1:7" x14ac:dyDescent="0.25">
      <c r="E4221" s="54"/>
      <c r="G4221"/>
    </row>
    <row r="4222" spans="1:7" x14ac:dyDescent="0.25">
      <c r="E4222" s="54"/>
      <c r="G4222"/>
    </row>
    <row r="4223" spans="1:7" x14ac:dyDescent="0.25">
      <c r="E4223" s="54"/>
      <c r="G4223"/>
    </row>
    <row r="4224" spans="1:7" x14ac:dyDescent="0.25">
      <c r="E4224" s="54"/>
      <c r="G4224"/>
    </row>
    <row r="4225" spans="5:7" x14ac:dyDescent="0.25">
      <c r="E4225" s="54"/>
      <c r="G4225"/>
    </row>
    <row r="4226" spans="5:7" x14ac:dyDescent="0.25">
      <c r="E4226" s="54"/>
      <c r="G4226"/>
    </row>
    <row r="4227" spans="5:7" x14ac:dyDescent="0.25">
      <c r="E4227" s="54"/>
      <c r="G4227"/>
    </row>
    <row r="4228" spans="5:7" x14ac:dyDescent="0.25">
      <c r="E4228" s="54"/>
      <c r="G4228"/>
    </row>
    <row r="4229" spans="5:7" x14ac:dyDescent="0.25">
      <c r="E4229" s="54"/>
      <c r="G4229"/>
    </row>
    <row r="4230" spans="5:7" x14ac:dyDescent="0.25">
      <c r="E4230" s="54"/>
      <c r="G4230"/>
    </row>
    <row r="4231" spans="5:7" x14ac:dyDescent="0.25">
      <c r="E4231" s="54"/>
      <c r="G4231"/>
    </row>
    <row r="4232" spans="5:7" x14ac:dyDescent="0.25">
      <c r="E4232" s="54"/>
      <c r="G4232"/>
    </row>
    <row r="4233" spans="5:7" x14ac:dyDescent="0.25">
      <c r="E4233" s="54"/>
      <c r="G4233"/>
    </row>
    <row r="4234" spans="5:7" x14ac:dyDescent="0.25">
      <c r="E4234" s="54"/>
      <c r="G4234"/>
    </row>
    <row r="4235" spans="5:7" x14ac:dyDescent="0.25">
      <c r="E4235" s="54"/>
      <c r="G4235"/>
    </row>
    <row r="4236" spans="5:7" x14ac:dyDescent="0.25">
      <c r="E4236" s="54"/>
      <c r="G4236"/>
    </row>
    <row r="4237" spans="5:7" x14ac:dyDescent="0.25">
      <c r="E4237" s="54"/>
      <c r="G4237"/>
    </row>
    <row r="4238" spans="5:7" x14ac:dyDescent="0.25">
      <c r="E4238" s="54"/>
      <c r="G4238"/>
    </row>
    <row r="4239" spans="5:7" x14ac:dyDescent="0.25">
      <c r="E4239" s="54"/>
      <c r="G4239"/>
    </row>
    <row r="4240" spans="5:7" x14ac:dyDescent="0.25">
      <c r="E4240" s="54"/>
      <c r="G4240"/>
    </row>
    <row r="4241" spans="1:7" x14ac:dyDescent="0.25">
      <c r="E4241" s="54"/>
      <c r="G4241"/>
    </row>
    <row r="4242" spans="1:7" x14ac:dyDescent="0.25">
      <c r="E4242" s="54"/>
      <c r="G4242"/>
    </row>
    <row r="4243" spans="1:7" x14ac:dyDescent="0.25">
      <c r="E4243" s="54"/>
      <c r="G4243"/>
    </row>
    <row r="4244" spans="1:7" x14ac:dyDescent="0.25">
      <c r="E4244" s="54"/>
      <c r="G4244"/>
    </row>
    <row r="4245" spans="1:7" x14ac:dyDescent="0.25">
      <c r="E4245" s="54"/>
      <c r="G4245"/>
    </row>
    <row r="4246" spans="1:7" x14ac:dyDescent="0.25">
      <c r="A4246" s="40"/>
      <c r="E4246" s="54"/>
      <c r="G4246"/>
    </row>
    <row r="4247" spans="1:7" x14ac:dyDescent="0.25">
      <c r="A4247" s="40"/>
      <c r="E4247" s="54"/>
      <c r="G4247"/>
    </row>
    <row r="4248" spans="1:7" x14ac:dyDescent="0.25">
      <c r="E4248" s="54"/>
      <c r="G4248"/>
    </row>
    <row r="4249" spans="1:7" x14ac:dyDescent="0.25">
      <c r="E4249" s="54"/>
      <c r="G4249"/>
    </row>
    <row r="4250" spans="1:7" x14ac:dyDescent="0.25">
      <c r="E4250" s="54"/>
      <c r="G4250"/>
    </row>
    <row r="4251" spans="1:7" x14ac:dyDescent="0.25">
      <c r="E4251" s="54"/>
      <c r="G4251"/>
    </row>
    <row r="4252" spans="1:7" x14ac:dyDescent="0.25">
      <c r="E4252" s="54"/>
      <c r="G4252"/>
    </row>
    <row r="4253" spans="1:7" x14ac:dyDescent="0.25">
      <c r="E4253" s="54"/>
      <c r="G4253"/>
    </row>
    <row r="4254" spans="1:7" x14ac:dyDescent="0.25">
      <c r="E4254" s="54"/>
      <c r="G4254"/>
    </row>
    <row r="4255" spans="1:7" x14ac:dyDescent="0.25">
      <c r="A4255" s="48"/>
      <c r="E4255" s="54"/>
      <c r="F4255"/>
      <c r="G4255"/>
    </row>
    <row r="4256" spans="1:7" x14ac:dyDescent="0.25">
      <c r="A4256" s="48"/>
      <c r="E4256" s="54"/>
      <c r="F4256"/>
      <c r="G4256"/>
    </row>
    <row r="4257" spans="1:7" x14ac:dyDescent="0.25">
      <c r="A4257" s="48"/>
      <c r="E4257" s="54"/>
      <c r="F4257"/>
      <c r="G4257"/>
    </row>
    <row r="4258" spans="1:7" x14ac:dyDescent="0.25">
      <c r="A4258" s="48"/>
      <c r="E4258" s="54"/>
      <c r="F4258"/>
      <c r="G4258"/>
    </row>
    <row r="4259" spans="1:7" x14ac:dyDescent="0.25">
      <c r="A4259" s="48"/>
      <c r="E4259" s="54"/>
      <c r="F4259"/>
      <c r="G4259"/>
    </row>
    <row r="4260" spans="1:7" x14ac:dyDescent="0.25">
      <c r="A4260" s="48"/>
      <c r="E4260" s="54"/>
      <c r="F4260"/>
      <c r="G4260"/>
    </row>
    <row r="4261" spans="1:7" x14ac:dyDescent="0.25">
      <c r="A4261" s="48"/>
      <c r="E4261" s="54"/>
      <c r="F4261"/>
      <c r="G4261"/>
    </row>
    <row r="4262" spans="1:7" x14ac:dyDescent="0.25">
      <c r="A4262" s="48"/>
      <c r="E4262" s="54"/>
      <c r="F4262"/>
      <c r="G4262"/>
    </row>
    <row r="4263" spans="1:7" x14ac:dyDescent="0.25">
      <c r="A4263" s="48"/>
      <c r="E4263" s="54"/>
      <c r="F4263"/>
      <c r="G4263"/>
    </row>
    <row r="4264" spans="1:7" x14ac:dyDescent="0.25">
      <c r="A4264" s="48"/>
      <c r="E4264" s="54"/>
      <c r="F4264"/>
      <c r="G4264"/>
    </row>
    <row r="4265" spans="1:7" x14ac:dyDescent="0.25">
      <c r="A4265" s="48"/>
      <c r="E4265" s="54"/>
      <c r="F4265"/>
      <c r="G4265"/>
    </row>
    <row r="4266" spans="1:7" x14ac:dyDescent="0.25">
      <c r="A4266" s="48"/>
      <c r="E4266" s="54"/>
      <c r="F4266"/>
      <c r="G4266"/>
    </row>
    <row r="4267" spans="1:7" x14ac:dyDescent="0.25">
      <c r="A4267" s="39"/>
      <c r="E4267" s="54"/>
      <c r="G4267"/>
    </row>
    <row r="4268" spans="1:7" x14ac:dyDescent="0.25">
      <c r="A4268" s="39"/>
      <c r="E4268" s="54"/>
      <c r="G4268"/>
    </row>
    <row r="4269" spans="1:7" x14ac:dyDescent="0.25">
      <c r="A4269" s="48"/>
      <c r="E4269" s="54"/>
      <c r="F4269"/>
      <c r="G4269"/>
    </row>
    <row r="4270" spans="1:7" x14ac:dyDescent="0.25">
      <c r="A4270" s="39"/>
      <c r="E4270" s="54"/>
      <c r="G4270"/>
    </row>
    <row r="4271" spans="1:7" x14ac:dyDescent="0.25">
      <c r="A4271" s="48"/>
      <c r="E4271" s="54"/>
      <c r="F4271"/>
      <c r="G4271"/>
    </row>
    <row r="4272" spans="1:7" x14ac:dyDescent="0.25">
      <c r="A4272" s="48"/>
      <c r="E4272" s="54"/>
      <c r="F4272"/>
      <c r="G4272"/>
    </row>
    <row r="4273" spans="1:7" x14ac:dyDescent="0.25">
      <c r="A4273" s="48"/>
      <c r="E4273" s="54"/>
      <c r="F4273"/>
      <c r="G4273"/>
    </row>
    <row r="4274" spans="1:7" x14ac:dyDescent="0.25">
      <c r="A4274" s="48"/>
      <c r="E4274" s="54"/>
      <c r="F4274"/>
      <c r="G4274"/>
    </row>
    <row r="4275" spans="1:7" x14ac:dyDescent="0.25">
      <c r="A4275" s="48"/>
      <c r="E4275" s="54"/>
      <c r="F4275"/>
      <c r="G4275"/>
    </row>
    <row r="4276" spans="1:7" x14ac:dyDescent="0.25">
      <c r="A4276" s="48"/>
      <c r="E4276" s="54"/>
      <c r="F4276"/>
      <c r="G4276"/>
    </row>
    <row r="4277" spans="1:7" x14ac:dyDescent="0.25">
      <c r="A4277" s="48"/>
      <c r="E4277" s="54"/>
      <c r="F4277"/>
      <c r="G4277"/>
    </row>
    <row r="4278" spans="1:7" x14ac:dyDescent="0.25">
      <c r="A4278" s="48"/>
      <c r="E4278" s="54"/>
      <c r="F4278"/>
      <c r="G4278"/>
    </row>
    <row r="4279" spans="1:7" x14ac:dyDescent="0.25">
      <c r="A4279" s="48"/>
      <c r="E4279" s="54"/>
      <c r="F4279"/>
      <c r="G4279"/>
    </row>
    <row r="4280" spans="1:7" x14ac:dyDescent="0.25">
      <c r="A4280" s="48"/>
      <c r="E4280" s="54"/>
      <c r="F4280"/>
      <c r="G4280"/>
    </row>
    <row r="4281" spans="1:7" x14ac:dyDescent="0.25">
      <c r="A4281" s="48"/>
      <c r="E4281" s="54"/>
      <c r="F4281"/>
      <c r="G4281"/>
    </row>
    <row r="4282" spans="1:7" x14ac:dyDescent="0.25">
      <c r="A4282" s="48"/>
      <c r="E4282" s="54"/>
      <c r="F4282"/>
      <c r="G4282"/>
    </row>
    <row r="4283" spans="1:7" x14ac:dyDescent="0.25">
      <c r="A4283" s="48"/>
      <c r="E4283" s="54"/>
      <c r="F4283"/>
      <c r="G4283"/>
    </row>
    <row r="4284" spans="1:7" x14ac:dyDescent="0.25">
      <c r="A4284" s="48"/>
      <c r="E4284" s="54"/>
      <c r="F4284"/>
      <c r="G4284"/>
    </row>
    <row r="4285" spans="1:7" x14ac:dyDescent="0.25">
      <c r="A4285" s="48"/>
      <c r="E4285" s="54"/>
      <c r="F4285"/>
      <c r="G4285"/>
    </row>
    <row r="4286" spans="1:7" x14ac:dyDescent="0.25">
      <c r="A4286" s="48"/>
      <c r="E4286" s="54"/>
      <c r="F4286"/>
      <c r="G4286"/>
    </row>
    <row r="4287" spans="1:7" x14ac:dyDescent="0.25">
      <c r="A4287" s="48"/>
      <c r="E4287" s="54"/>
      <c r="F4287"/>
      <c r="G4287"/>
    </row>
    <row r="4288" spans="1:7" x14ac:dyDescent="0.25">
      <c r="A4288" s="48"/>
      <c r="E4288" s="54"/>
      <c r="F4288"/>
      <c r="G4288"/>
    </row>
    <row r="4289" spans="1:7" x14ac:dyDescent="0.25">
      <c r="A4289" s="48"/>
      <c r="E4289" s="54"/>
      <c r="F4289"/>
      <c r="G4289"/>
    </row>
    <row r="4290" spans="1:7" x14ac:dyDescent="0.25">
      <c r="A4290" s="48"/>
      <c r="E4290" s="54"/>
      <c r="F4290"/>
      <c r="G4290"/>
    </row>
    <row r="4291" spans="1:7" x14ac:dyDescent="0.25">
      <c r="A4291" s="48"/>
      <c r="E4291" s="54"/>
      <c r="F4291"/>
      <c r="G4291"/>
    </row>
    <row r="4292" spans="1:7" x14ac:dyDescent="0.25">
      <c r="A4292" s="48"/>
      <c r="E4292" s="54"/>
      <c r="F4292"/>
      <c r="G4292"/>
    </row>
    <row r="4293" spans="1:7" x14ac:dyDescent="0.25">
      <c r="A4293" s="48"/>
      <c r="E4293" s="54"/>
      <c r="F4293"/>
      <c r="G4293"/>
    </row>
    <row r="4294" spans="1:7" x14ac:dyDescent="0.25">
      <c r="A4294" s="48"/>
      <c r="E4294" s="54"/>
      <c r="F4294"/>
      <c r="G4294"/>
    </row>
    <row r="4295" spans="1:7" x14ac:dyDescent="0.25">
      <c r="A4295" s="48"/>
      <c r="E4295" s="54"/>
      <c r="F4295"/>
      <c r="G4295"/>
    </row>
    <row r="4296" spans="1:7" x14ac:dyDescent="0.25">
      <c r="A4296" s="48"/>
      <c r="E4296" s="54"/>
      <c r="F4296"/>
      <c r="G4296"/>
    </row>
    <row r="4297" spans="1:7" x14ac:dyDescent="0.25">
      <c r="A4297" s="48"/>
      <c r="E4297" s="54"/>
      <c r="F4297"/>
      <c r="G4297"/>
    </row>
    <row r="4298" spans="1:7" x14ac:dyDescent="0.25">
      <c r="A4298" s="48"/>
      <c r="E4298" s="54"/>
      <c r="F4298"/>
      <c r="G4298"/>
    </row>
    <row r="4299" spans="1:7" x14ac:dyDescent="0.25">
      <c r="A4299" s="48"/>
      <c r="E4299" s="54"/>
      <c r="F4299"/>
      <c r="G4299"/>
    </row>
    <row r="4300" spans="1:7" x14ac:dyDescent="0.25">
      <c r="A4300" s="48"/>
      <c r="E4300" s="54"/>
      <c r="F4300"/>
      <c r="G4300"/>
    </row>
    <row r="4301" spans="1:7" x14ac:dyDescent="0.25">
      <c r="A4301" s="48"/>
      <c r="E4301" s="54"/>
      <c r="F4301"/>
      <c r="G4301"/>
    </row>
    <row r="4302" spans="1:7" x14ac:dyDescent="0.25">
      <c r="A4302" s="48"/>
      <c r="E4302" s="54"/>
      <c r="F4302"/>
      <c r="G4302"/>
    </row>
    <row r="4303" spans="1:7" x14ac:dyDescent="0.25">
      <c r="A4303" s="48"/>
      <c r="E4303" s="54"/>
      <c r="F4303"/>
      <c r="G4303"/>
    </row>
    <row r="4304" spans="1:7" x14ac:dyDescent="0.25">
      <c r="A4304" s="48"/>
      <c r="E4304" s="54"/>
      <c r="F4304"/>
      <c r="G4304"/>
    </row>
    <row r="4305" spans="1:7" x14ac:dyDescent="0.25">
      <c r="A4305" s="48"/>
      <c r="E4305" s="54"/>
      <c r="F4305"/>
      <c r="G4305"/>
    </row>
    <row r="4306" spans="1:7" x14ac:dyDescent="0.25">
      <c r="A4306" s="48"/>
      <c r="E4306" s="54"/>
      <c r="F4306"/>
      <c r="G4306"/>
    </row>
    <row r="4307" spans="1:7" x14ac:dyDescent="0.25">
      <c r="A4307" s="48"/>
      <c r="E4307" s="54"/>
      <c r="F4307"/>
      <c r="G4307"/>
    </row>
    <row r="4308" spans="1:7" x14ac:dyDescent="0.25">
      <c r="A4308" s="48"/>
      <c r="E4308" s="54"/>
      <c r="F4308"/>
      <c r="G4308"/>
    </row>
    <row r="4309" spans="1:7" x14ac:dyDescent="0.25">
      <c r="A4309" s="48"/>
      <c r="E4309" s="54"/>
      <c r="F4309"/>
      <c r="G4309"/>
    </row>
    <row r="4310" spans="1:7" x14ac:dyDescent="0.25">
      <c r="A4310" s="48"/>
      <c r="E4310" s="54"/>
      <c r="F4310"/>
      <c r="G4310"/>
    </row>
    <row r="4311" spans="1:7" x14ac:dyDescent="0.25">
      <c r="A4311" s="48"/>
      <c r="E4311" s="54"/>
      <c r="F4311"/>
      <c r="G4311"/>
    </row>
    <row r="4312" spans="1:7" x14ac:dyDescent="0.25">
      <c r="A4312" s="48"/>
      <c r="E4312" s="54"/>
      <c r="F4312"/>
      <c r="G4312"/>
    </row>
    <row r="4313" spans="1:7" x14ac:dyDescent="0.25">
      <c r="A4313" s="48"/>
      <c r="E4313" s="54"/>
      <c r="F4313"/>
      <c r="G4313"/>
    </row>
    <row r="4314" spans="1:7" x14ac:dyDescent="0.25">
      <c r="A4314" s="48"/>
      <c r="E4314" s="54"/>
      <c r="F4314"/>
      <c r="G4314"/>
    </row>
    <row r="4315" spans="1:7" x14ac:dyDescent="0.25">
      <c r="A4315" s="48"/>
      <c r="E4315" s="54"/>
      <c r="F4315"/>
      <c r="G4315"/>
    </row>
    <row r="4316" spans="1:7" x14ac:dyDescent="0.25">
      <c r="A4316" s="48"/>
      <c r="E4316" s="54"/>
      <c r="F4316"/>
      <c r="G4316"/>
    </row>
    <row r="4317" spans="1:7" x14ac:dyDescent="0.25">
      <c r="E4317" s="54"/>
      <c r="G4317"/>
    </row>
    <row r="4318" spans="1:7" x14ac:dyDescent="0.25">
      <c r="E4318" s="54"/>
      <c r="G4318"/>
    </row>
    <row r="4319" spans="1:7" x14ac:dyDescent="0.25">
      <c r="E4319" s="54"/>
      <c r="G4319"/>
    </row>
    <row r="4320" spans="1:7" x14ac:dyDescent="0.25">
      <c r="E4320" s="54"/>
      <c r="G4320"/>
    </row>
    <row r="4321" spans="1:7" x14ac:dyDescent="0.25">
      <c r="E4321" s="54"/>
      <c r="G4321"/>
    </row>
    <row r="4322" spans="1:7" x14ac:dyDescent="0.25">
      <c r="E4322" s="54"/>
      <c r="G4322"/>
    </row>
    <row r="4323" spans="1:7" x14ac:dyDescent="0.25">
      <c r="A4323" s="48"/>
      <c r="E4323" s="54"/>
      <c r="F4323"/>
      <c r="G4323"/>
    </row>
    <row r="4324" spans="1:7" x14ac:dyDescent="0.25">
      <c r="A4324" s="48"/>
      <c r="E4324" s="54"/>
      <c r="F4324"/>
      <c r="G4324"/>
    </row>
    <row r="4325" spans="1:7" x14ac:dyDescent="0.25">
      <c r="E4325" s="54"/>
      <c r="G4325"/>
    </row>
    <row r="4326" spans="1:7" x14ac:dyDescent="0.25">
      <c r="E4326" s="54"/>
      <c r="G4326"/>
    </row>
    <row r="4327" spans="1:7" x14ac:dyDescent="0.25">
      <c r="E4327" s="54"/>
      <c r="G4327"/>
    </row>
    <row r="4328" spans="1:7" x14ac:dyDescent="0.25">
      <c r="E4328" s="54"/>
      <c r="G4328"/>
    </row>
    <row r="4329" spans="1:7" x14ac:dyDescent="0.25">
      <c r="E4329" s="54"/>
      <c r="G4329"/>
    </row>
    <row r="4330" spans="1:7" x14ac:dyDescent="0.25">
      <c r="E4330" s="54"/>
      <c r="G4330"/>
    </row>
    <row r="4331" spans="1:7" x14ac:dyDescent="0.25">
      <c r="E4331" s="54"/>
      <c r="G4331"/>
    </row>
    <row r="4332" spans="1:7" x14ac:dyDescent="0.25">
      <c r="E4332" s="54"/>
      <c r="G4332"/>
    </row>
    <row r="4333" spans="1:7" x14ac:dyDescent="0.25">
      <c r="E4333" s="54"/>
      <c r="G4333"/>
    </row>
    <row r="4334" spans="1:7" x14ac:dyDescent="0.25">
      <c r="E4334" s="54"/>
      <c r="G4334"/>
    </row>
    <row r="4335" spans="1:7" x14ac:dyDescent="0.25">
      <c r="E4335" s="54"/>
      <c r="G4335"/>
    </row>
    <row r="4336" spans="1:7" x14ac:dyDescent="0.25">
      <c r="E4336" s="54"/>
      <c r="G4336"/>
    </row>
    <row r="4337" spans="5:7" x14ac:dyDescent="0.25">
      <c r="E4337" s="54"/>
      <c r="G4337"/>
    </row>
    <row r="4338" spans="5:7" x14ac:dyDescent="0.25">
      <c r="E4338" s="54"/>
      <c r="G4338"/>
    </row>
    <row r="4339" spans="5:7" x14ac:dyDescent="0.25">
      <c r="E4339" s="54"/>
      <c r="G4339"/>
    </row>
    <row r="4340" spans="5:7" x14ac:dyDescent="0.25">
      <c r="E4340" s="54"/>
      <c r="G4340"/>
    </row>
    <row r="4341" spans="5:7" x14ac:dyDescent="0.25">
      <c r="E4341" s="54"/>
      <c r="G4341"/>
    </row>
    <row r="4342" spans="5:7" x14ac:dyDescent="0.25">
      <c r="E4342" s="54"/>
      <c r="G4342"/>
    </row>
    <row r="4343" spans="5:7" x14ac:dyDescent="0.25">
      <c r="E4343" s="54"/>
      <c r="G4343"/>
    </row>
    <row r="4344" spans="5:7" x14ac:dyDescent="0.25">
      <c r="E4344" s="54"/>
      <c r="G4344"/>
    </row>
    <row r="4345" spans="5:7" x14ac:dyDescent="0.25">
      <c r="E4345" s="54"/>
      <c r="G4345"/>
    </row>
    <row r="4346" spans="5:7" x14ac:dyDescent="0.25">
      <c r="E4346" s="54"/>
      <c r="G4346"/>
    </row>
    <row r="4347" spans="5:7" x14ac:dyDescent="0.25">
      <c r="E4347" s="54"/>
      <c r="G4347"/>
    </row>
    <row r="4348" spans="5:7" x14ac:dyDescent="0.25">
      <c r="E4348" s="54"/>
      <c r="G4348"/>
    </row>
    <row r="4349" spans="5:7" x14ac:dyDescent="0.25">
      <c r="E4349" s="54"/>
      <c r="G4349"/>
    </row>
    <row r="4350" spans="5:7" x14ac:dyDescent="0.25">
      <c r="E4350" s="54"/>
      <c r="G4350"/>
    </row>
    <row r="4351" spans="5:7" x14ac:dyDescent="0.25">
      <c r="E4351" s="54"/>
      <c r="G4351"/>
    </row>
    <row r="4352" spans="5:7" x14ac:dyDescent="0.25">
      <c r="E4352" s="54"/>
      <c r="G4352"/>
    </row>
    <row r="4353" spans="1:7" x14ac:dyDescent="0.25">
      <c r="E4353" s="54"/>
      <c r="G4353"/>
    </row>
    <row r="4354" spans="1:7" x14ac:dyDescent="0.25">
      <c r="E4354" s="54"/>
      <c r="G4354"/>
    </row>
    <row r="4355" spans="1:7" x14ac:dyDescent="0.25">
      <c r="E4355" s="54"/>
      <c r="G4355"/>
    </row>
    <row r="4356" spans="1:7" x14ac:dyDescent="0.25">
      <c r="E4356" s="54"/>
      <c r="G4356"/>
    </row>
    <row r="4357" spans="1:7" x14ac:dyDescent="0.25">
      <c r="E4357" s="54"/>
      <c r="G4357"/>
    </row>
    <row r="4358" spans="1:7" x14ac:dyDescent="0.25">
      <c r="E4358" s="54"/>
      <c r="G4358"/>
    </row>
    <row r="4359" spans="1:7" x14ac:dyDescent="0.25">
      <c r="E4359" s="54"/>
      <c r="G4359"/>
    </row>
    <row r="4360" spans="1:7" x14ac:dyDescent="0.25">
      <c r="A4360" s="48"/>
      <c r="E4360" s="54"/>
      <c r="F4360"/>
      <c r="G4360"/>
    </row>
    <row r="4361" spans="1:7" x14ac:dyDescent="0.25">
      <c r="E4361" s="54"/>
      <c r="G4361"/>
    </row>
    <row r="4362" spans="1:7" x14ac:dyDescent="0.25">
      <c r="E4362" s="54"/>
      <c r="G4362"/>
    </row>
    <row r="4363" spans="1:7" x14ac:dyDescent="0.25">
      <c r="A4363" s="48"/>
      <c r="E4363" s="54"/>
      <c r="F4363"/>
      <c r="G4363"/>
    </row>
    <row r="4364" spans="1:7" x14ac:dyDescent="0.25">
      <c r="E4364" s="54"/>
      <c r="G4364"/>
    </row>
    <row r="4365" spans="1:7" x14ac:dyDescent="0.25">
      <c r="E4365" s="54"/>
      <c r="G4365"/>
    </row>
    <row r="4366" spans="1:7" x14ac:dyDescent="0.25">
      <c r="E4366" s="54"/>
      <c r="G4366"/>
    </row>
    <row r="4367" spans="1:7" x14ac:dyDescent="0.25">
      <c r="E4367" s="54"/>
      <c r="G4367"/>
    </row>
    <row r="4368" spans="1:7" x14ac:dyDescent="0.25">
      <c r="E4368" s="54"/>
      <c r="G4368"/>
    </row>
    <row r="4369" spans="1:7" x14ac:dyDescent="0.25">
      <c r="E4369" s="54"/>
      <c r="G4369"/>
    </row>
    <row r="4370" spans="1:7" x14ac:dyDescent="0.25">
      <c r="E4370" s="54"/>
      <c r="G4370"/>
    </row>
    <row r="4371" spans="1:7" x14ac:dyDescent="0.25">
      <c r="E4371" s="54"/>
      <c r="G4371"/>
    </row>
    <row r="4372" spans="1:7" x14ac:dyDescent="0.25">
      <c r="E4372" s="54"/>
      <c r="G4372"/>
    </row>
    <row r="4373" spans="1:7" x14ac:dyDescent="0.25">
      <c r="E4373" s="54"/>
      <c r="G4373"/>
    </row>
    <row r="4374" spans="1:7" x14ac:dyDescent="0.25">
      <c r="E4374" s="54"/>
      <c r="G4374"/>
    </row>
    <row r="4375" spans="1:7" x14ac:dyDescent="0.25">
      <c r="E4375" s="54"/>
      <c r="G4375"/>
    </row>
    <row r="4376" spans="1:7" x14ac:dyDescent="0.25">
      <c r="E4376" s="54"/>
      <c r="G4376"/>
    </row>
    <row r="4377" spans="1:7" x14ac:dyDescent="0.25">
      <c r="E4377" s="54"/>
      <c r="G4377"/>
    </row>
    <row r="4378" spans="1:7" x14ac:dyDescent="0.25">
      <c r="E4378" s="54"/>
      <c r="G4378"/>
    </row>
    <row r="4379" spans="1:7" x14ac:dyDescent="0.25">
      <c r="E4379" s="54"/>
      <c r="G4379"/>
    </row>
    <row r="4380" spans="1:7" x14ac:dyDescent="0.25">
      <c r="E4380" s="54"/>
      <c r="G4380"/>
    </row>
    <row r="4381" spans="1:7" x14ac:dyDescent="0.25">
      <c r="E4381" s="54"/>
      <c r="G4381"/>
    </row>
    <row r="4382" spans="1:7" x14ac:dyDescent="0.25">
      <c r="E4382" s="54"/>
      <c r="G4382"/>
    </row>
    <row r="4383" spans="1:7" x14ac:dyDescent="0.25">
      <c r="E4383" s="54"/>
      <c r="G4383"/>
    </row>
    <row r="4384" spans="1:7" x14ac:dyDescent="0.25">
      <c r="A4384" s="39"/>
      <c r="C4384" s="32"/>
      <c r="E4384" s="54"/>
      <c r="F4384" s="2"/>
      <c r="G4384"/>
    </row>
    <row r="4385" spans="1:7" x14ac:dyDescent="0.25">
      <c r="A4385" s="39"/>
      <c r="C4385" s="32"/>
      <c r="E4385" s="54"/>
      <c r="F4385" s="2"/>
      <c r="G4385"/>
    </row>
    <row r="4386" spans="1:7" x14ac:dyDescent="0.25">
      <c r="A4386" s="39"/>
      <c r="C4386" s="32"/>
      <c r="E4386" s="54"/>
      <c r="F4386" s="2"/>
      <c r="G4386"/>
    </row>
    <row r="4387" spans="1:7" x14ac:dyDescent="0.25">
      <c r="A4387" s="39"/>
      <c r="C4387" s="32"/>
      <c r="E4387" s="54"/>
      <c r="F4387" s="2"/>
      <c r="G4387"/>
    </row>
    <row r="4388" spans="1:7" x14ac:dyDescent="0.25">
      <c r="A4388" s="39"/>
      <c r="C4388" s="32"/>
      <c r="E4388" s="54"/>
      <c r="F4388" s="2"/>
      <c r="G4388"/>
    </row>
    <row r="4389" spans="1:7" x14ac:dyDescent="0.25">
      <c r="A4389" s="39"/>
      <c r="C4389" s="32"/>
      <c r="E4389" s="54"/>
      <c r="F4389" s="2"/>
      <c r="G4389"/>
    </row>
    <row r="4390" spans="1:7" x14ac:dyDescent="0.25">
      <c r="A4390" s="39"/>
      <c r="C4390" s="32"/>
      <c r="E4390" s="54"/>
      <c r="F4390" s="2"/>
      <c r="G4390"/>
    </row>
    <row r="4391" spans="1:7" x14ac:dyDescent="0.25">
      <c r="A4391" s="39"/>
      <c r="C4391" s="32"/>
      <c r="E4391" s="54"/>
      <c r="F4391" s="2"/>
      <c r="G4391"/>
    </row>
    <row r="4392" spans="1:7" x14ac:dyDescent="0.25">
      <c r="A4392" s="39"/>
      <c r="C4392" s="32"/>
      <c r="E4392" s="54"/>
      <c r="F4392" s="2"/>
      <c r="G4392"/>
    </row>
    <row r="4393" spans="1:7" x14ac:dyDescent="0.25">
      <c r="A4393" s="39"/>
      <c r="C4393" s="32"/>
      <c r="E4393" s="54"/>
      <c r="F4393" s="2"/>
      <c r="G4393"/>
    </row>
    <row r="4394" spans="1:7" x14ac:dyDescent="0.25">
      <c r="A4394" s="39"/>
      <c r="C4394" s="32"/>
      <c r="E4394" s="54"/>
      <c r="F4394" s="2"/>
      <c r="G4394"/>
    </row>
    <row r="4395" spans="1:7" x14ac:dyDescent="0.25">
      <c r="A4395" s="39"/>
      <c r="C4395" s="32"/>
      <c r="E4395" s="54"/>
      <c r="F4395" s="2"/>
      <c r="G4395"/>
    </row>
    <row r="4396" spans="1:7" x14ac:dyDescent="0.25">
      <c r="A4396" s="39"/>
      <c r="C4396" s="32"/>
      <c r="E4396" s="54"/>
      <c r="F4396" s="2"/>
      <c r="G4396"/>
    </row>
    <row r="4397" spans="1:7" x14ac:dyDescent="0.25">
      <c r="A4397" s="39"/>
      <c r="C4397" s="32"/>
      <c r="E4397" s="54"/>
      <c r="F4397" s="2"/>
      <c r="G4397"/>
    </row>
    <row r="4398" spans="1:7" x14ac:dyDescent="0.25">
      <c r="A4398" s="39"/>
      <c r="C4398" s="32"/>
      <c r="E4398" s="54"/>
      <c r="F4398" s="2"/>
      <c r="G4398"/>
    </row>
    <row r="4399" spans="1:7" x14ac:dyDescent="0.25">
      <c r="A4399" s="39"/>
      <c r="E4399" s="54"/>
      <c r="F4399" s="2"/>
      <c r="G4399"/>
    </row>
    <row r="4400" spans="1:7" x14ac:dyDescent="0.25">
      <c r="A4400" s="39"/>
      <c r="E4400" s="54"/>
      <c r="F4400" s="2"/>
      <c r="G4400"/>
    </row>
    <row r="4401" spans="1:7" x14ac:dyDescent="0.25">
      <c r="A4401" s="39"/>
      <c r="E4401" s="54"/>
      <c r="F4401" s="2"/>
      <c r="G4401"/>
    </row>
    <row r="4402" spans="1:7" x14ac:dyDescent="0.25">
      <c r="A4402" s="39"/>
      <c r="E4402" s="54"/>
      <c r="F4402" s="2"/>
      <c r="G4402"/>
    </row>
    <row r="4403" spans="1:7" x14ac:dyDescent="0.25">
      <c r="A4403" s="39"/>
      <c r="E4403" s="54"/>
      <c r="F4403" s="2"/>
      <c r="G4403"/>
    </row>
    <row r="4404" spans="1:7" x14ac:dyDescent="0.25">
      <c r="A4404" s="39"/>
      <c r="E4404" s="54"/>
      <c r="F4404" s="2"/>
      <c r="G4404"/>
    </row>
    <row r="4405" spans="1:7" x14ac:dyDescent="0.25">
      <c r="A4405" s="39"/>
      <c r="E4405" s="54"/>
      <c r="F4405" s="2"/>
      <c r="G4405"/>
    </row>
    <row r="4406" spans="1:7" x14ac:dyDescent="0.25">
      <c r="A4406" s="39"/>
      <c r="E4406" s="54"/>
      <c r="F4406" s="2"/>
      <c r="G4406"/>
    </row>
    <row r="4407" spans="1:7" x14ac:dyDescent="0.25">
      <c r="A4407" s="39"/>
      <c r="E4407" s="54"/>
      <c r="F4407" s="2"/>
      <c r="G4407"/>
    </row>
    <row r="4408" spans="1:7" x14ac:dyDescent="0.25">
      <c r="A4408" s="39"/>
      <c r="E4408" s="54"/>
      <c r="F4408" s="2"/>
      <c r="G4408"/>
    </row>
    <row r="4409" spans="1:7" x14ac:dyDescent="0.25">
      <c r="A4409" s="39"/>
      <c r="E4409" s="54"/>
      <c r="F4409" s="2"/>
      <c r="G4409"/>
    </row>
    <row r="4410" spans="1:7" x14ac:dyDescent="0.25">
      <c r="A4410" s="39"/>
      <c r="E4410" s="54"/>
      <c r="F4410" s="2"/>
      <c r="G4410"/>
    </row>
    <row r="4411" spans="1:7" x14ac:dyDescent="0.25">
      <c r="A4411" s="39"/>
      <c r="E4411" s="54"/>
      <c r="F4411" s="2"/>
      <c r="G4411"/>
    </row>
    <row r="4412" spans="1:7" x14ac:dyDescent="0.25">
      <c r="A4412" s="39"/>
      <c r="E4412" s="54"/>
      <c r="F4412" s="2"/>
      <c r="G4412"/>
    </row>
    <row r="4413" spans="1:7" x14ac:dyDescent="0.25">
      <c r="A4413" s="39"/>
      <c r="E4413" s="54"/>
      <c r="F4413" s="2"/>
      <c r="G4413"/>
    </row>
    <row r="4414" spans="1:7" x14ac:dyDescent="0.25">
      <c r="A4414" s="39"/>
      <c r="E4414" s="54"/>
      <c r="F4414" s="2"/>
      <c r="G4414"/>
    </row>
    <row r="4415" spans="1:7" x14ac:dyDescent="0.25">
      <c r="A4415" s="39"/>
      <c r="E4415" s="54"/>
      <c r="F4415" s="2"/>
      <c r="G4415"/>
    </row>
    <row r="4416" spans="1:7" x14ac:dyDescent="0.25">
      <c r="A4416" s="39"/>
      <c r="E4416" s="54"/>
      <c r="F4416" s="2"/>
      <c r="G4416"/>
    </row>
    <row r="4417" spans="1:7" x14ac:dyDescent="0.25">
      <c r="A4417" s="39"/>
      <c r="E4417" s="54"/>
      <c r="F4417" s="2"/>
      <c r="G4417"/>
    </row>
    <row r="4418" spans="1:7" x14ac:dyDescent="0.25">
      <c r="A4418" s="39"/>
      <c r="E4418" s="54"/>
      <c r="F4418" s="2"/>
      <c r="G4418"/>
    </row>
    <row r="4419" spans="1:7" x14ac:dyDescent="0.25">
      <c r="A4419" s="39"/>
      <c r="E4419" s="54"/>
      <c r="F4419" s="2"/>
      <c r="G4419"/>
    </row>
    <row r="4420" spans="1:7" x14ac:dyDescent="0.25">
      <c r="A4420" s="39"/>
      <c r="E4420" s="54"/>
      <c r="F4420" s="2"/>
      <c r="G4420"/>
    </row>
    <row r="4421" spans="1:7" x14ac:dyDescent="0.25">
      <c r="A4421" s="39"/>
      <c r="E4421" s="54"/>
      <c r="F4421" s="2"/>
      <c r="G4421"/>
    </row>
    <row r="4422" spans="1:7" x14ac:dyDescent="0.25">
      <c r="A4422" s="39"/>
      <c r="E4422" s="54"/>
      <c r="F4422" s="2"/>
      <c r="G4422"/>
    </row>
    <row r="4423" spans="1:7" x14ac:dyDescent="0.25">
      <c r="A4423" s="39"/>
      <c r="E4423" s="54"/>
      <c r="F4423" s="2"/>
      <c r="G4423"/>
    </row>
    <row r="4424" spans="1:7" x14ac:dyDescent="0.25">
      <c r="A4424" s="39"/>
      <c r="E4424" s="54"/>
      <c r="F4424" s="2"/>
      <c r="G4424"/>
    </row>
    <row r="4425" spans="1:7" x14ac:dyDescent="0.25">
      <c r="A4425" s="39"/>
      <c r="E4425" s="54"/>
      <c r="F4425" s="2"/>
      <c r="G4425"/>
    </row>
    <row r="4426" spans="1:7" x14ac:dyDescent="0.25">
      <c r="E4426" s="54"/>
      <c r="F4426" s="2"/>
      <c r="G4426"/>
    </row>
    <row r="4427" spans="1:7" x14ac:dyDescent="0.25">
      <c r="E4427" s="54"/>
      <c r="F4427" s="2"/>
      <c r="G4427"/>
    </row>
    <row r="4428" spans="1:7" x14ac:dyDescent="0.25">
      <c r="E4428" s="54"/>
      <c r="F4428" s="2"/>
      <c r="G4428"/>
    </row>
    <row r="4429" spans="1:7" x14ac:dyDescent="0.25">
      <c r="E4429" s="54"/>
      <c r="F4429" s="2"/>
      <c r="G4429"/>
    </row>
    <row r="4430" spans="1:7" x14ac:dyDescent="0.25">
      <c r="E4430" s="54"/>
      <c r="F4430" s="2"/>
      <c r="G4430"/>
    </row>
    <row r="4431" spans="1:7" x14ac:dyDescent="0.25">
      <c r="E4431" s="54"/>
      <c r="F4431" s="2"/>
      <c r="G4431"/>
    </row>
    <row r="4432" spans="1:7" x14ac:dyDescent="0.25">
      <c r="E4432" s="54"/>
      <c r="G4432"/>
    </row>
    <row r="4433" spans="5:7" x14ac:dyDescent="0.25">
      <c r="E4433" s="54"/>
      <c r="G4433"/>
    </row>
    <row r="4434" spans="5:7" x14ac:dyDescent="0.25">
      <c r="E4434" s="54"/>
      <c r="G4434"/>
    </row>
    <row r="4435" spans="5:7" x14ac:dyDescent="0.25">
      <c r="E4435" s="54"/>
      <c r="G4435"/>
    </row>
    <row r="4436" spans="5:7" x14ac:dyDescent="0.25">
      <c r="E4436" s="54"/>
      <c r="G4436"/>
    </row>
    <row r="4437" spans="5:7" x14ac:dyDescent="0.25">
      <c r="E4437" s="54"/>
      <c r="G4437"/>
    </row>
    <row r="4438" spans="5:7" x14ac:dyDescent="0.25">
      <c r="E4438" s="54"/>
      <c r="G4438"/>
    </row>
    <row r="4439" spans="5:7" x14ac:dyDescent="0.25">
      <c r="E4439" s="54"/>
      <c r="G4439"/>
    </row>
    <row r="4440" spans="5:7" x14ac:dyDescent="0.25">
      <c r="E4440" s="54"/>
      <c r="G4440"/>
    </row>
    <row r="4441" spans="5:7" x14ac:dyDescent="0.25">
      <c r="E4441" s="54"/>
      <c r="G4441"/>
    </row>
    <row r="4442" spans="5:7" x14ac:dyDescent="0.25">
      <c r="E4442" s="54"/>
      <c r="G4442"/>
    </row>
    <row r="4443" spans="5:7" x14ac:dyDescent="0.25">
      <c r="E4443" s="54"/>
      <c r="G4443"/>
    </row>
    <row r="4444" spans="5:7" x14ac:dyDescent="0.25">
      <c r="E4444" s="54"/>
      <c r="G4444"/>
    </row>
    <row r="4445" spans="5:7" x14ac:dyDescent="0.25">
      <c r="E4445" s="54"/>
      <c r="G4445"/>
    </row>
    <row r="4446" spans="5:7" x14ac:dyDescent="0.25">
      <c r="E4446" s="54"/>
      <c r="G4446"/>
    </row>
    <row r="4447" spans="5:7" x14ac:dyDescent="0.25">
      <c r="E4447" s="54"/>
      <c r="G4447"/>
    </row>
    <row r="4448" spans="5:7" x14ac:dyDescent="0.25">
      <c r="E4448" s="54"/>
      <c r="G4448"/>
    </row>
    <row r="4449" spans="5:7" x14ac:dyDescent="0.25">
      <c r="E4449" s="54"/>
      <c r="G4449"/>
    </row>
    <row r="4450" spans="5:7" x14ac:dyDescent="0.25">
      <c r="E4450" s="54"/>
      <c r="G4450"/>
    </row>
    <row r="4451" spans="5:7" x14ac:dyDescent="0.25">
      <c r="E4451" s="54"/>
      <c r="G4451"/>
    </row>
    <row r="4452" spans="5:7" x14ac:dyDescent="0.25">
      <c r="E4452" s="54"/>
      <c r="G4452"/>
    </row>
    <row r="4453" spans="5:7" x14ac:dyDescent="0.25">
      <c r="E4453" s="54"/>
      <c r="G4453"/>
    </row>
    <row r="4454" spans="5:7" x14ac:dyDescent="0.25">
      <c r="E4454" s="54"/>
      <c r="G4454"/>
    </row>
    <row r="4455" spans="5:7" x14ac:dyDescent="0.25">
      <c r="E4455" s="54"/>
      <c r="G4455"/>
    </row>
    <row r="4456" spans="5:7" x14ac:dyDescent="0.25">
      <c r="E4456" s="54"/>
      <c r="G4456"/>
    </row>
    <row r="4457" spans="5:7" x14ac:dyDescent="0.25">
      <c r="E4457" s="54"/>
      <c r="G4457"/>
    </row>
    <row r="4458" spans="5:7" x14ac:dyDescent="0.25">
      <c r="E4458" s="54"/>
      <c r="G4458"/>
    </row>
    <row r="4459" spans="5:7" x14ac:dyDescent="0.25">
      <c r="E4459" s="54"/>
      <c r="G4459"/>
    </row>
    <row r="4460" spans="5:7" x14ac:dyDescent="0.25">
      <c r="E4460" s="54"/>
      <c r="G4460"/>
    </row>
    <row r="4461" spans="5:7" x14ac:dyDescent="0.25">
      <c r="E4461" s="54"/>
      <c r="G4461"/>
    </row>
    <row r="4462" spans="5:7" x14ac:dyDescent="0.25">
      <c r="E4462" s="54"/>
      <c r="G4462"/>
    </row>
    <row r="4463" spans="5:7" x14ac:dyDescent="0.25">
      <c r="E4463" s="54"/>
      <c r="G4463"/>
    </row>
    <row r="4464" spans="5:7" x14ac:dyDescent="0.25">
      <c r="E4464" s="54"/>
      <c r="G4464"/>
    </row>
    <row r="4465" spans="1:7" x14ac:dyDescent="0.25">
      <c r="E4465" s="54"/>
      <c r="G4465"/>
    </row>
    <row r="4466" spans="1:7" x14ac:dyDescent="0.25">
      <c r="E4466" s="54"/>
      <c r="G4466"/>
    </row>
    <row r="4467" spans="1:7" x14ac:dyDescent="0.25">
      <c r="E4467" s="54"/>
      <c r="G4467"/>
    </row>
    <row r="4468" spans="1:7" x14ac:dyDescent="0.25">
      <c r="E4468" s="54"/>
      <c r="G4468"/>
    </row>
    <row r="4469" spans="1:7" x14ac:dyDescent="0.25">
      <c r="E4469" s="54"/>
      <c r="G4469"/>
    </row>
    <row r="4470" spans="1:7" x14ac:dyDescent="0.25">
      <c r="E4470" s="54"/>
      <c r="G4470"/>
    </row>
    <row r="4471" spans="1:7" x14ac:dyDescent="0.25">
      <c r="A4471" s="43"/>
      <c r="E4471" s="54"/>
      <c r="G4471"/>
    </row>
    <row r="4472" spans="1:7" x14ac:dyDescent="0.25">
      <c r="A4472" s="39"/>
      <c r="E4472" s="54"/>
      <c r="F4472"/>
      <c r="G4472"/>
    </row>
    <row r="4473" spans="1:7" x14ac:dyDescent="0.25">
      <c r="A4473" s="40"/>
      <c r="E4473" s="54"/>
      <c r="G4473"/>
    </row>
    <row r="4474" spans="1:7" x14ac:dyDescent="0.25">
      <c r="A4474" s="39"/>
      <c r="E4474" s="54"/>
      <c r="F4474"/>
      <c r="G4474"/>
    </row>
    <row r="4475" spans="1:7" x14ac:dyDescent="0.25">
      <c r="A4475" s="39"/>
      <c r="E4475" s="54"/>
      <c r="F4475"/>
      <c r="G4475"/>
    </row>
    <row r="4476" spans="1:7" x14ac:dyDescent="0.25">
      <c r="A4476" s="39"/>
      <c r="E4476" s="54"/>
      <c r="F4476"/>
      <c r="G4476"/>
    </row>
    <row r="4477" spans="1:7" x14ac:dyDescent="0.25">
      <c r="A4477" s="39"/>
      <c r="E4477" s="54"/>
      <c r="F4477"/>
      <c r="G4477"/>
    </row>
    <row r="4478" spans="1:7" x14ac:dyDescent="0.25">
      <c r="A4478" s="40"/>
      <c r="E4478" s="54"/>
      <c r="G4478"/>
    </row>
    <row r="4479" spans="1:7" x14ac:dyDescent="0.25">
      <c r="A4479" s="39"/>
      <c r="E4479" s="54"/>
      <c r="F4479"/>
      <c r="G4479"/>
    </row>
    <row r="4480" spans="1:7" x14ac:dyDescent="0.25">
      <c r="A4480" s="39"/>
      <c r="E4480" s="54"/>
      <c r="F4480"/>
      <c r="G4480"/>
    </row>
    <row r="4481" spans="1:7" x14ac:dyDescent="0.25">
      <c r="A4481" s="39"/>
      <c r="E4481" s="54"/>
      <c r="F4481"/>
      <c r="G4481"/>
    </row>
    <row r="4482" spans="1:7" x14ac:dyDescent="0.25">
      <c r="A4482" s="39"/>
      <c r="E4482" s="54"/>
      <c r="F4482"/>
      <c r="G4482"/>
    </row>
    <row r="4483" spans="1:7" x14ac:dyDescent="0.25">
      <c r="A4483" s="39"/>
      <c r="E4483" s="54"/>
      <c r="F4483"/>
      <c r="G4483"/>
    </row>
    <row r="4484" spans="1:7" x14ac:dyDescent="0.25">
      <c r="A4484" s="39"/>
      <c r="E4484" s="54"/>
      <c r="F4484"/>
      <c r="G4484"/>
    </row>
    <row r="4485" spans="1:7" x14ac:dyDescent="0.25">
      <c r="A4485" s="39"/>
      <c r="E4485" s="54"/>
      <c r="F4485"/>
      <c r="G4485"/>
    </row>
    <row r="4486" spans="1:7" x14ac:dyDescent="0.25">
      <c r="A4486" s="39"/>
      <c r="E4486" s="54"/>
      <c r="F4486"/>
      <c r="G4486"/>
    </row>
    <row r="4487" spans="1:7" x14ac:dyDescent="0.25">
      <c r="A4487" s="39"/>
      <c r="E4487" s="54"/>
      <c r="F4487"/>
      <c r="G4487"/>
    </row>
    <row r="4488" spans="1:7" x14ac:dyDescent="0.25">
      <c r="A4488" s="39"/>
      <c r="E4488" s="54"/>
      <c r="F4488"/>
      <c r="G4488"/>
    </row>
    <row r="4489" spans="1:7" x14ac:dyDescent="0.25">
      <c r="A4489" s="39"/>
      <c r="E4489" s="54"/>
      <c r="F4489"/>
      <c r="G4489"/>
    </row>
    <row r="4490" spans="1:7" x14ac:dyDescent="0.25">
      <c r="A4490" s="39"/>
      <c r="E4490" s="54"/>
      <c r="F4490"/>
      <c r="G4490"/>
    </row>
    <row r="4491" spans="1:7" x14ac:dyDescent="0.25">
      <c r="A4491" s="39"/>
      <c r="E4491" s="54"/>
      <c r="F4491"/>
      <c r="G4491"/>
    </row>
    <row r="4492" spans="1:7" x14ac:dyDescent="0.25">
      <c r="A4492" s="39"/>
      <c r="E4492" s="54"/>
      <c r="F4492"/>
      <c r="G4492"/>
    </row>
    <row r="4493" spans="1:7" x14ac:dyDescent="0.25">
      <c r="A4493" s="39"/>
      <c r="E4493" s="54"/>
      <c r="F4493"/>
      <c r="G4493"/>
    </row>
    <row r="4494" spans="1:7" x14ac:dyDescent="0.25">
      <c r="A4494" s="39"/>
      <c r="E4494" s="54"/>
      <c r="F4494"/>
      <c r="G4494"/>
    </row>
    <row r="4495" spans="1:7" x14ac:dyDescent="0.25">
      <c r="A4495" s="39"/>
      <c r="E4495" s="54"/>
      <c r="F4495"/>
      <c r="G4495"/>
    </row>
    <row r="4496" spans="1:7" x14ac:dyDescent="0.25">
      <c r="A4496" s="39"/>
      <c r="E4496" s="54"/>
      <c r="F4496"/>
      <c r="G4496"/>
    </row>
    <row r="4497" spans="1:7" x14ac:dyDescent="0.25">
      <c r="A4497" s="39"/>
      <c r="E4497" s="54"/>
      <c r="F4497"/>
      <c r="G4497"/>
    </row>
    <row r="4498" spans="1:7" x14ac:dyDescent="0.25">
      <c r="A4498" s="39"/>
      <c r="E4498" s="54"/>
      <c r="F4498"/>
      <c r="G4498"/>
    </row>
    <row r="4499" spans="1:7" x14ac:dyDescent="0.25">
      <c r="A4499" s="39"/>
      <c r="E4499" s="54"/>
      <c r="F4499"/>
      <c r="G4499"/>
    </row>
    <row r="4500" spans="1:7" x14ac:dyDescent="0.25">
      <c r="A4500" s="39"/>
      <c r="E4500" s="54"/>
      <c r="F4500"/>
      <c r="G4500"/>
    </row>
    <row r="4501" spans="1:7" x14ac:dyDescent="0.25">
      <c r="A4501" s="39"/>
      <c r="E4501" s="54"/>
      <c r="F4501"/>
      <c r="G4501"/>
    </row>
    <row r="4502" spans="1:7" x14ac:dyDescent="0.25">
      <c r="A4502" s="39"/>
      <c r="E4502" s="54"/>
      <c r="F4502"/>
      <c r="G4502"/>
    </row>
    <row r="4503" spans="1:7" x14ac:dyDescent="0.25">
      <c r="A4503" s="39"/>
      <c r="E4503" s="54"/>
      <c r="F4503" s="2"/>
      <c r="G4503"/>
    </row>
    <row r="4504" spans="1:7" x14ac:dyDescent="0.25">
      <c r="A4504" s="39"/>
      <c r="E4504" s="54"/>
      <c r="F4504" s="2"/>
      <c r="G4504"/>
    </row>
    <row r="4505" spans="1:7" x14ac:dyDescent="0.25">
      <c r="A4505" s="39"/>
      <c r="E4505" s="54"/>
      <c r="F4505" s="2"/>
      <c r="G4505"/>
    </row>
    <row r="4506" spans="1:7" x14ac:dyDescent="0.25">
      <c r="A4506" s="39"/>
      <c r="E4506" s="54"/>
      <c r="F4506" s="2"/>
      <c r="G4506"/>
    </row>
    <row r="4507" spans="1:7" x14ac:dyDescent="0.25">
      <c r="A4507" s="39"/>
      <c r="E4507" s="54"/>
      <c r="F4507" s="2"/>
      <c r="G4507"/>
    </row>
    <row r="4508" spans="1:7" x14ac:dyDescent="0.25">
      <c r="A4508" s="39"/>
      <c r="E4508" s="54"/>
      <c r="F4508" s="2"/>
      <c r="G4508"/>
    </row>
    <row r="4509" spans="1:7" x14ac:dyDescent="0.25">
      <c r="A4509" s="39"/>
      <c r="E4509" s="54"/>
      <c r="F4509" s="2"/>
      <c r="G4509"/>
    </row>
    <row r="4510" spans="1:7" x14ac:dyDescent="0.25">
      <c r="A4510" s="39"/>
      <c r="E4510" s="54"/>
      <c r="F4510" s="2"/>
      <c r="G4510"/>
    </row>
    <row r="4511" spans="1:7" x14ac:dyDescent="0.25">
      <c r="A4511" s="39"/>
      <c r="E4511" s="54"/>
      <c r="F4511" s="2"/>
      <c r="G4511"/>
    </row>
    <row r="4512" spans="1:7" x14ac:dyDescent="0.25">
      <c r="A4512" s="39"/>
      <c r="E4512" s="54"/>
      <c r="F4512" s="2"/>
      <c r="G4512"/>
    </row>
    <row r="4513" spans="1:7" x14ac:dyDescent="0.25">
      <c r="A4513" s="39"/>
      <c r="E4513" s="54"/>
      <c r="F4513" s="2"/>
      <c r="G4513"/>
    </row>
    <row r="4514" spans="1:7" x14ac:dyDescent="0.25">
      <c r="A4514" s="39"/>
      <c r="E4514" s="54"/>
      <c r="F4514" s="2"/>
      <c r="G4514"/>
    </row>
    <row r="4515" spans="1:7" x14ac:dyDescent="0.25">
      <c r="A4515" s="39"/>
      <c r="E4515" s="54"/>
      <c r="F4515" s="2"/>
      <c r="G4515"/>
    </row>
    <row r="4516" spans="1:7" x14ac:dyDescent="0.25">
      <c r="A4516" s="39"/>
      <c r="E4516" s="54"/>
      <c r="F4516" s="2"/>
      <c r="G4516"/>
    </row>
    <row r="4517" spans="1:7" x14ac:dyDescent="0.25">
      <c r="A4517" s="39"/>
      <c r="E4517" s="54"/>
      <c r="F4517" s="2"/>
      <c r="G4517"/>
    </row>
    <row r="4518" spans="1:7" x14ac:dyDescent="0.25">
      <c r="A4518" s="40"/>
      <c r="E4518" s="54"/>
      <c r="F4518" s="2"/>
      <c r="G4518"/>
    </row>
    <row r="4519" spans="1:7" x14ac:dyDescent="0.25">
      <c r="A4519" s="39"/>
      <c r="E4519" s="54"/>
      <c r="F4519" s="2"/>
      <c r="G4519"/>
    </row>
    <row r="4520" spans="1:7" x14ac:dyDescent="0.25">
      <c r="A4520" s="39"/>
      <c r="E4520" s="54"/>
      <c r="F4520" s="2"/>
      <c r="G4520"/>
    </row>
    <row r="4521" spans="1:7" x14ac:dyDescent="0.25">
      <c r="A4521" s="39"/>
      <c r="E4521" s="54"/>
      <c r="F4521" s="2"/>
      <c r="G4521"/>
    </row>
    <row r="4522" spans="1:7" x14ac:dyDescent="0.25">
      <c r="A4522" s="39"/>
      <c r="E4522" s="54"/>
      <c r="F4522" s="2"/>
      <c r="G4522"/>
    </row>
    <row r="4523" spans="1:7" x14ac:dyDescent="0.25">
      <c r="A4523" s="39"/>
      <c r="E4523" s="54"/>
      <c r="F4523" s="2"/>
      <c r="G4523"/>
    </row>
    <row r="4524" spans="1:7" x14ac:dyDescent="0.25">
      <c r="A4524" s="39"/>
      <c r="E4524" s="54"/>
      <c r="F4524" s="2"/>
      <c r="G4524"/>
    </row>
    <row r="4525" spans="1:7" x14ac:dyDescent="0.25">
      <c r="A4525" s="39"/>
      <c r="E4525" s="54"/>
      <c r="F4525" s="2"/>
      <c r="G4525"/>
    </row>
    <row r="4526" spans="1:7" x14ac:dyDescent="0.25">
      <c r="A4526" s="39"/>
      <c r="E4526" s="54"/>
      <c r="F4526" s="2"/>
      <c r="G4526"/>
    </row>
    <row r="4527" spans="1:7" x14ac:dyDescent="0.25">
      <c r="A4527" s="39"/>
      <c r="E4527" s="54"/>
      <c r="F4527"/>
      <c r="G4527"/>
    </row>
    <row r="4528" spans="1:7" x14ac:dyDescent="0.25">
      <c r="A4528" s="39"/>
      <c r="E4528" s="54"/>
      <c r="F4528"/>
      <c r="G4528"/>
    </row>
    <row r="4529" spans="1:7" x14ac:dyDescent="0.25">
      <c r="A4529" s="39"/>
      <c r="E4529" s="54"/>
      <c r="F4529"/>
      <c r="G4529"/>
    </row>
    <row r="4530" spans="1:7" x14ac:dyDescent="0.25">
      <c r="A4530" s="39"/>
      <c r="E4530" s="54"/>
      <c r="F4530" s="2"/>
      <c r="G4530"/>
    </row>
    <row r="4531" spans="1:7" x14ac:dyDescent="0.25">
      <c r="A4531" s="39"/>
      <c r="E4531" s="54"/>
      <c r="F4531"/>
      <c r="G4531"/>
    </row>
    <row r="4532" spans="1:7" x14ac:dyDescent="0.25">
      <c r="A4532" s="39"/>
      <c r="E4532" s="54"/>
      <c r="F4532"/>
      <c r="G4532"/>
    </row>
    <row r="4533" spans="1:7" x14ac:dyDescent="0.25">
      <c r="A4533" s="39"/>
      <c r="E4533" s="54"/>
      <c r="F4533" s="2"/>
      <c r="G4533"/>
    </row>
    <row r="4534" spans="1:7" x14ac:dyDescent="0.25">
      <c r="A4534" s="39"/>
      <c r="E4534" s="54"/>
      <c r="F4534" s="2"/>
      <c r="G4534"/>
    </row>
    <row r="4535" spans="1:7" x14ac:dyDescent="0.25">
      <c r="A4535" s="39"/>
      <c r="E4535" s="54"/>
      <c r="F4535" s="2"/>
      <c r="G4535"/>
    </row>
    <row r="4536" spans="1:7" x14ac:dyDescent="0.25">
      <c r="A4536" s="39"/>
      <c r="E4536" s="54"/>
      <c r="F4536" s="2"/>
      <c r="G4536"/>
    </row>
    <row r="4537" spans="1:7" x14ac:dyDescent="0.25">
      <c r="A4537" s="39"/>
      <c r="E4537" s="54"/>
      <c r="F4537" s="2"/>
      <c r="G4537"/>
    </row>
    <row r="4538" spans="1:7" x14ac:dyDescent="0.25">
      <c r="A4538" s="39"/>
      <c r="E4538" s="54"/>
      <c r="F4538" s="2"/>
      <c r="G4538"/>
    </row>
    <row r="4539" spans="1:7" x14ac:dyDescent="0.25">
      <c r="A4539" s="39"/>
      <c r="E4539" s="54"/>
      <c r="F4539" s="2"/>
      <c r="G4539"/>
    </row>
    <row r="4540" spans="1:7" x14ac:dyDescent="0.25">
      <c r="A4540" s="39"/>
      <c r="E4540" s="54"/>
      <c r="F4540" s="2"/>
      <c r="G4540"/>
    </row>
    <row r="4541" spans="1:7" x14ac:dyDescent="0.25">
      <c r="A4541" s="39"/>
      <c r="E4541" s="54"/>
      <c r="F4541" s="2"/>
      <c r="G4541"/>
    </row>
    <row r="4542" spans="1:7" x14ac:dyDescent="0.25">
      <c r="A4542" s="39"/>
      <c r="E4542" s="54"/>
      <c r="F4542" s="2"/>
      <c r="G4542"/>
    </row>
    <row r="4543" spans="1:7" x14ac:dyDescent="0.25">
      <c r="A4543" s="39"/>
      <c r="E4543" s="54"/>
      <c r="F4543" s="2"/>
      <c r="G4543"/>
    </row>
    <row r="4544" spans="1:7" x14ac:dyDescent="0.25">
      <c r="A4544" s="39"/>
      <c r="E4544" s="54"/>
      <c r="F4544" s="2"/>
      <c r="G4544"/>
    </row>
    <row r="4545" spans="1:7" x14ac:dyDescent="0.25">
      <c r="A4545" s="39"/>
      <c r="E4545" s="54"/>
      <c r="F4545" s="2"/>
      <c r="G4545"/>
    </row>
    <row r="4546" spans="1:7" x14ac:dyDescent="0.25">
      <c r="A4546" s="39"/>
      <c r="E4546" s="54"/>
      <c r="F4546" s="2"/>
      <c r="G4546"/>
    </row>
    <row r="4547" spans="1:7" x14ac:dyDescent="0.25">
      <c r="A4547" s="39"/>
      <c r="E4547" s="54"/>
      <c r="F4547" s="2"/>
      <c r="G4547"/>
    </row>
    <row r="4548" spans="1:7" x14ac:dyDescent="0.25">
      <c r="A4548" s="39"/>
      <c r="E4548" s="54"/>
      <c r="F4548" s="2"/>
      <c r="G4548"/>
    </row>
    <row r="4549" spans="1:7" x14ac:dyDescent="0.25">
      <c r="A4549" s="39"/>
      <c r="E4549" s="54"/>
      <c r="F4549" s="2"/>
      <c r="G4549"/>
    </row>
    <row r="4550" spans="1:7" x14ac:dyDescent="0.25">
      <c r="A4550" s="39"/>
      <c r="E4550" s="54"/>
      <c r="F4550"/>
      <c r="G4550"/>
    </row>
    <row r="4551" spans="1:7" x14ac:dyDescent="0.25">
      <c r="A4551" s="39"/>
      <c r="E4551" s="54"/>
      <c r="F4551" s="2"/>
      <c r="G4551"/>
    </row>
    <row r="4552" spans="1:7" x14ac:dyDescent="0.25">
      <c r="A4552" s="39"/>
      <c r="E4552" s="54"/>
      <c r="F4552" s="2"/>
      <c r="G4552"/>
    </row>
    <row r="4553" spans="1:7" x14ac:dyDescent="0.25">
      <c r="A4553" s="39"/>
      <c r="E4553" s="54"/>
      <c r="F4553" s="2"/>
      <c r="G4553"/>
    </row>
    <row r="4554" spans="1:7" x14ac:dyDescent="0.25">
      <c r="A4554" s="39"/>
      <c r="E4554" s="54"/>
      <c r="F4554" s="2"/>
      <c r="G4554"/>
    </row>
    <row r="4555" spans="1:7" x14ac:dyDescent="0.25">
      <c r="A4555" s="39"/>
      <c r="E4555" s="54"/>
      <c r="F4555" s="2"/>
      <c r="G4555"/>
    </row>
    <row r="4556" spans="1:7" x14ac:dyDescent="0.25">
      <c r="A4556" s="39"/>
      <c r="E4556" s="54"/>
      <c r="F4556" s="2"/>
      <c r="G4556"/>
    </row>
    <row r="4557" spans="1:7" x14ac:dyDescent="0.25">
      <c r="A4557" s="39"/>
      <c r="E4557" s="54"/>
      <c r="F4557" s="2"/>
      <c r="G4557"/>
    </row>
    <row r="4558" spans="1:7" x14ac:dyDescent="0.25">
      <c r="A4558" s="39"/>
      <c r="E4558" s="54"/>
      <c r="F4558" s="2"/>
      <c r="G4558"/>
    </row>
    <row r="4559" spans="1:7" x14ac:dyDescent="0.25">
      <c r="A4559" s="39"/>
      <c r="E4559" s="54"/>
      <c r="F4559" s="2"/>
      <c r="G4559"/>
    </row>
    <row r="4560" spans="1:7" x14ac:dyDescent="0.25">
      <c r="A4560" s="39"/>
      <c r="E4560" s="54"/>
      <c r="F4560" s="2"/>
      <c r="G4560"/>
    </row>
    <row r="4561" spans="1:7" x14ac:dyDescent="0.25">
      <c r="A4561" s="39"/>
      <c r="E4561" s="54"/>
      <c r="F4561" s="2"/>
      <c r="G4561"/>
    </row>
    <row r="4562" spans="1:7" x14ac:dyDescent="0.25">
      <c r="A4562" s="39"/>
      <c r="E4562" s="54"/>
      <c r="F4562" s="2"/>
      <c r="G4562"/>
    </row>
    <row r="4563" spans="1:7" x14ac:dyDescent="0.25">
      <c r="A4563" s="39"/>
      <c r="E4563" s="54"/>
      <c r="F4563" s="2"/>
      <c r="G4563"/>
    </row>
    <row r="4564" spans="1:7" x14ac:dyDescent="0.25">
      <c r="A4564" s="40"/>
      <c r="E4564" s="54"/>
      <c r="F4564" s="2"/>
      <c r="G4564"/>
    </row>
    <row r="4565" spans="1:7" x14ac:dyDescent="0.25">
      <c r="A4565" s="39"/>
      <c r="E4565" s="54"/>
      <c r="F4565" s="2"/>
      <c r="G4565"/>
    </row>
    <row r="4566" spans="1:7" x14ac:dyDescent="0.25">
      <c r="A4566" s="40"/>
      <c r="E4566" s="54"/>
      <c r="F4566" s="2"/>
      <c r="G4566"/>
    </row>
    <row r="4567" spans="1:7" x14ac:dyDescent="0.25">
      <c r="A4567" s="40"/>
      <c r="E4567" s="54"/>
      <c r="F4567" s="2"/>
      <c r="G4567"/>
    </row>
    <row r="4568" spans="1:7" x14ac:dyDescent="0.25">
      <c r="A4568" s="40"/>
      <c r="E4568" s="54"/>
      <c r="F4568" s="2"/>
      <c r="G4568"/>
    </row>
    <row r="4569" spans="1:7" x14ac:dyDescent="0.25">
      <c r="A4569" s="40"/>
      <c r="E4569" s="54"/>
      <c r="F4569" s="2"/>
      <c r="G4569"/>
    </row>
    <row r="4570" spans="1:7" x14ac:dyDescent="0.25">
      <c r="A4570" s="40"/>
      <c r="E4570" s="54"/>
      <c r="F4570" s="2"/>
      <c r="G4570"/>
    </row>
    <row r="4571" spans="1:7" x14ac:dyDescent="0.25">
      <c r="A4571" s="40"/>
      <c r="E4571" s="54"/>
      <c r="F4571" s="2"/>
      <c r="G4571"/>
    </row>
    <row r="4572" spans="1:7" x14ac:dyDescent="0.25">
      <c r="A4572" s="40"/>
      <c r="E4572" s="54"/>
      <c r="F4572" s="2"/>
      <c r="G4572"/>
    </row>
    <row r="4573" spans="1:7" x14ac:dyDescent="0.25">
      <c r="A4573" s="40"/>
      <c r="E4573" s="54"/>
      <c r="F4573" s="2"/>
      <c r="G4573"/>
    </row>
    <row r="4574" spans="1:7" x14ac:dyDescent="0.25">
      <c r="A4574" s="40"/>
      <c r="E4574" s="54"/>
      <c r="F4574" s="2"/>
      <c r="G4574"/>
    </row>
    <row r="4575" spans="1:7" x14ac:dyDescent="0.25">
      <c r="A4575" s="40"/>
      <c r="E4575" s="54"/>
      <c r="F4575" s="2"/>
      <c r="G4575"/>
    </row>
    <row r="4576" spans="1:7" x14ac:dyDescent="0.25">
      <c r="A4576" s="40"/>
      <c r="E4576" s="54"/>
      <c r="F4576" s="2"/>
      <c r="G4576"/>
    </row>
    <row r="4577" spans="1:7" x14ac:dyDescent="0.25">
      <c r="A4577" s="40"/>
      <c r="E4577" s="54"/>
      <c r="F4577" s="2"/>
      <c r="G4577"/>
    </row>
    <row r="4578" spans="1:7" x14ac:dyDescent="0.25">
      <c r="A4578" s="40"/>
      <c r="E4578" s="54"/>
      <c r="F4578" s="2"/>
      <c r="G4578"/>
    </row>
    <row r="4579" spans="1:7" x14ac:dyDescent="0.25">
      <c r="A4579" s="40"/>
      <c r="E4579" s="54"/>
      <c r="F4579" s="2"/>
      <c r="G4579"/>
    </row>
    <row r="4580" spans="1:7" x14ac:dyDescent="0.25">
      <c r="A4580" s="40"/>
      <c r="E4580" s="54"/>
      <c r="F4580" s="2"/>
      <c r="G4580"/>
    </row>
    <row r="4581" spans="1:7" x14ac:dyDescent="0.25">
      <c r="A4581" s="39"/>
      <c r="E4581" s="54"/>
      <c r="F4581"/>
      <c r="G4581"/>
    </row>
    <row r="4582" spans="1:7" x14ac:dyDescent="0.25">
      <c r="A4582" s="39"/>
      <c r="E4582" s="54"/>
      <c r="F4582"/>
      <c r="G4582"/>
    </row>
    <row r="4583" spans="1:7" x14ac:dyDescent="0.25">
      <c r="A4583" s="40"/>
      <c r="E4583" s="54"/>
      <c r="F4583" s="2"/>
      <c r="G4583"/>
    </row>
    <row r="4584" spans="1:7" x14ac:dyDescent="0.25">
      <c r="A4584" s="40"/>
      <c r="E4584" s="54"/>
      <c r="F4584" s="2"/>
      <c r="G4584"/>
    </row>
    <row r="4585" spans="1:7" x14ac:dyDescent="0.25">
      <c r="A4585" s="40"/>
      <c r="E4585" s="54"/>
      <c r="F4585" s="2"/>
      <c r="G4585"/>
    </row>
    <row r="4586" spans="1:7" x14ac:dyDescent="0.25">
      <c r="A4586" s="40"/>
      <c r="E4586" s="54"/>
      <c r="F4586" s="2"/>
      <c r="G4586"/>
    </row>
    <row r="4587" spans="1:7" x14ac:dyDescent="0.25">
      <c r="A4587" s="40"/>
      <c r="E4587" s="54"/>
      <c r="F4587" s="2"/>
      <c r="G4587"/>
    </row>
    <row r="4588" spans="1:7" x14ac:dyDescent="0.25">
      <c r="A4588" s="40"/>
      <c r="E4588" s="54"/>
      <c r="F4588" s="2"/>
      <c r="G4588"/>
    </row>
    <row r="4589" spans="1:7" x14ac:dyDescent="0.25">
      <c r="A4589" s="39"/>
      <c r="E4589" s="54"/>
      <c r="F4589" s="2"/>
      <c r="G4589"/>
    </row>
    <row r="4590" spans="1:7" x14ac:dyDescent="0.25">
      <c r="A4590" s="39"/>
      <c r="E4590" s="54"/>
      <c r="F4590" s="2"/>
      <c r="G4590"/>
    </row>
    <row r="4591" spans="1:7" x14ac:dyDescent="0.25">
      <c r="A4591" s="39"/>
      <c r="E4591" s="54"/>
      <c r="F4591" s="2"/>
      <c r="G4591"/>
    </row>
    <row r="4592" spans="1:7" x14ac:dyDescent="0.25">
      <c r="A4592" s="39"/>
      <c r="E4592" s="54"/>
      <c r="F4592" s="2"/>
      <c r="G4592"/>
    </row>
    <row r="4593" spans="1:7" x14ac:dyDescent="0.25">
      <c r="A4593" s="39"/>
      <c r="E4593" s="54"/>
      <c r="F4593" s="2"/>
      <c r="G4593"/>
    </row>
    <row r="4594" spans="1:7" x14ac:dyDescent="0.25">
      <c r="A4594" s="39"/>
      <c r="E4594" s="54"/>
      <c r="F4594" s="2"/>
      <c r="G4594"/>
    </row>
    <row r="4595" spans="1:7" x14ac:dyDescent="0.25">
      <c r="A4595" s="39"/>
      <c r="E4595" s="54"/>
      <c r="F4595" s="2"/>
      <c r="G4595"/>
    </row>
    <row r="4596" spans="1:7" x14ac:dyDescent="0.25">
      <c r="A4596" s="39"/>
      <c r="E4596" s="54"/>
      <c r="F4596" s="2"/>
      <c r="G4596"/>
    </row>
    <row r="4597" spans="1:7" x14ac:dyDescent="0.25">
      <c r="A4597" s="39"/>
      <c r="E4597" s="54"/>
      <c r="F4597" s="2"/>
      <c r="G4597"/>
    </row>
    <row r="4598" spans="1:7" x14ac:dyDescent="0.25">
      <c r="A4598" s="39"/>
      <c r="E4598" s="54"/>
      <c r="F4598" s="2"/>
      <c r="G4598"/>
    </row>
    <row r="4599" spans="1:7" x14ac:dyDescent="0.25">
      <c r="A4599" s="40"/>
      <c r="E4599" s="54"/>
      <c r="F4599" s="2"/>
      <c r="G4599"/>
    </row>
    <row r="4600" spans="1:7" x14ac:dyDescent="0.25">
      <c r="A4600" s="40"/>
      <c r="E4600" s="54"/>
      <c r="F4600" s="2"/>
      <c r="G4600"/>
    </row>
    <row r="4601" spans="1:7" x14ac:dyDescent="0.25">
      <c r="A4601" s="40"/>
      <c r="E4601" s="54"/>
      <c r="F4601" s="2"/>
      <c r="G4601"/>
    </row>
    <row r="4602" spans="1:7" x14ac:dyDescent="0.25">
      <c r="A4602" s="40"/>
      <c r="E4602" s="54"/>
      <c r="F4602" s="2"/>
      <c r="G4602"/>
    </row>
    <row r="4603" spans="1:7" x14ac:dyDescent="0.25">
      <c r="A4603" s="39"/>
      <c r="E4603" s="54"/>
      <c r="F4603" s="2"/>
      <c r="G4603"/>
    </row>
    <row r="4604" spans="1:7" x14ac:dyDescent="0.25">
      <c r="A4604" s="39"/>
      <c r="E4604" s="54"/>
      <c r="F4604" s="2"/>
      <c r="G4604"/>
    </row>
    <row r="4605" spans="1:7" x14ac:dyDescent="0.25">
      <c r="A4605" s="39"/>
      <c r="E4605" s="54"/>
      <c r="F4605" s="2"/>
      <c r="G4605"/>
    </row>
    <row r="4606" spans="1:7" x14ac:dyDescent="0.25">
      <c r="A4606" s="45"/>
      <c r="E4606" s="54"/>
      <c r="G4606"/>
    </row>
    <row r="4607" spans="1:7" x14ac:dyDescent="0.25">
      <c r="A4607" s="39"/>
      <c r="E4607" s="54"/>
      <c r="F4607" s="2"/>
      <c r="G4607"/>
    </row>
    <row r="4608" spans="1:7" x14ac:dyDescent="0.25">
      <c r="A4608" s="39"/>
      <c r="E4608" s="54"/>
      <c r="F4608" s="2"/>
      <c r="G4608"/>
    </row>
    <row r="4609" spans="1:7" x14ac:dyDescent="0.25">
      <c r="A4609" s="39"/>
      <c r="E4609" s="54"/>
      <c r="F4609" s="2"/>
      <c r="G4609"/>
    </row>
    <row r="4610" spans="1:7" x14ac:dyDescent="0.25">
      <c r="A4610" s="45"/>
      <c r="E4610" s="54"/>
      <c r="G4610"/>
    </row>
    <row r="4611" spans="1:7" x14ac:dyDescent="0.25">
      <c r="A4611" s="45"/>
      <c r="E4611" s="54"/>
      <c r="G4611"/>
    </row>
    <row r="4612" spans="1:7" x14ac:dyDescent="0.25">
      <c r="E4612" s="54"/>
      <c r="G4612"/>
    </row>
    <row r="4613" spans="1:7" x14ac:dyDescent="0.25">
      <c r="E4613" s="54"/>
      <c r="F4613" s="2"/>
      <c r="G4613"/>
    </row>
    <row r="4614" spans="1:7" x14ac:dyDescent="0.25">
      <c r="E4614" s="54"/>
      <c r="F4614" s="2"/>
      <c r="G4614"/>
    </row>
    <row r="4615" spans="1:7" x14ac:dyDescent="0.25">
      <c r="E4615" s="54"/>
      <c r="F4615" s="2"/>
      <c r="G4615"/>
    </row>
    <row r="4616" spans="1:7" x14ac:dyDescent="0.25">
      <c r="E4616" s="54"/>
      <c r="F4616" s="2"/>
      <c r="G4616"/>
    </row>
    <row r="4617" spans="1:7" x14ac:dyDescent="0.25">
      <c r="E4617" s="54"/>
      <c r="F4617" s="2"/>
      <c r="G4617"/>
    </row>
    <row r="4618" spans="1:7" x14ac:dyDescent="0.25">
      <c r="E4618" s="54"/>
      <c r="F4618" s="2"/>
      <c r="G4618"/>
    </row>
    <row r="4619" spans="1:7" x14ac:dyDescent="0.25">
      <c r="E4619" s="54"/>
      <c r="F4619" s="2"/>
      <c r="G4619"/>
    </row>
    <row r="4620" spans="1:7" x14ac:dyDescent="0.25">
      <c r="E4620" s="54"/>
      <c r="F4620" s="2"/>
      <c r="G4620"/>
    </row>
    <row r="4621" spans="1:7" x14ac:dyDescent="0.25">
      <c r="A4621" s="46"/>
      <c r="E4621" s="54"/>
      <c r="F4621"/>
      <c r="G4621"/>
    </row>
    <row r="4622" spans="1:7" x14ac:dyDescent="0.25">
      <c r="A4622" s="46"/>
      <c r="E4622" s="54"/>
      <c r="F4622"/>
      <c r="G4622"/>
    </row>
    <row r="4623" spans="1:7" x14ac:dyDescent="0.25">
      <c r="A4623" s="46"/>
      <c r="E4623" s="54"/>
      <c r="F4623"/>
      <c r="G4623"/>
    </row>
    <row r="4624" spans="1:7" x14ac:dyDescent="0.25">
      <c r="E4624" s="54"/>
      <c r="G4624"/>
    </row>
    <row r="4625" spans="1:7" x14ac:dyDescent="0.25">
      <c r="E4625" s="54"/>
      <c r="F4625" s="2"/>
      <c r="G4625"/>
    </row>
    <row r="4626" spans="1:7" x14ac:dyDescent="0.25">
      <c r="E4626" s="54"/>
      <c r="F4626" s="2"/>
      <c r="G4626"/>
    </row>
    <row r="4627" spans="1:7" x14ac:dyDescent="0.25">
      <c r="E4627" s="54"/>
      <c r="F4627" s="2"/>
      <c r="G4627"/>
    </row>
    <row r="4628" spans="1:7" x14ac:dyDescent="0.25">
      <c r="E4628" s="54"/>
      <c r="F4628" s="2"/>
      <c r="G4628"/>
    </row>
    <row r="4629" spans="1:7" x14ac:dyDescent="0.25">
      <c r="E4629" s="54"/>
      <c r="F4629" s="2"/>
      <c r="G4629"/>
    </row>
    <row r="4630" spans="1:7" x14ac:dyDescent="0.25">
      <c r="E4630" s="54"/>
      <c r="F4630" s="2"/>
      <c r="G4630"/>
    </row>
    <row r="4631" spans="1:7" x14ac:dyDescent="0.25">
      <c r="A4631" s="44"/>
      <c r="E4631" s="54"/>
      <c r="F4631" s="2"/>
      <c r="G4631"/>
    </row>
    <row r="4632" spans="1:7" x14ac:dyDescent="0.25">
      <c r="E4632" s="54"/>
      <c r="F4632" s="2"/>
      <c r="G4632"/>
    </row>
    <row r="4633" spans="1:7" x14ac:dyDescent="0.25">
      <c r="E4633" s="54"/>
      <c r="F4633" s="2"/>
      <c r="G4633"/>
    </row>
    <row r="4634" spans="1:7" x14ac:dyDescent="0.25">
      <c r="E4634" s="54"/>
      <c r="F4634" s="2"/>
      <c r="G4634"/>
    </row>
    <row r="4635" spans="1:7" x14ac:dyDescent="0.25">
      <c r="E4635" s="54"/>
      <c r="F4635" s="2"/>
      <c r="G4635"/>
    </row>
    <row r="4636" spans="1:7" x14ac:dyDescent="0.25">
      <c r="E4636" s="54"/>
      <c r="F4636" s="2"/>
      <c r="G4636"/>
    </row>
    <row r="4637" spans="1:7" x14ac:dyDescent="0.25">
      <c r="E4637" s="54"/>
      <c r="F4637" s="2"/>
      <c r="G4637"/>
    </row>
    <row r="4638" spans="1:7" x14ac:dyDescent="0.25">
      <c r="E4638" s="54"/>
      <c r="F4638" s="2"/>
      <c r="G4638"/>
    </row>
    <row r="4639" spans="1:7" x14ac:dyDescent="0.25">
      <c r="E4639" s="54"/>
      <c r="F4639" s="2"/>
      <c r="G4639"/>
    </row>
    <row r="4640" spans="1:7" x14ac:dyDescent="0.25">
      <c r="E4640" s="54"/>
      <c r="G4640"/>
    </row>
    <row r="4641" spans="5:7" x14ac:dyDescent="0.25">
      <c r="E4641" s="54"/>
      <c r="G4641"/>
    </row>
    <row r="4642" spans="5:7" x14ac:dyDescent="0.25">
      <c r="E4642" s="54"/>
      <c r="G4642"/>
    </row>
    <row r="4643" spans="5:7" x14ac:dyDescent="0.25">
      <c r="E4643" s="54"/>
      <c r="G4643"/>
    </row>
    <row r="4644" spans="5:7" x14ac:dyDescent="0.25">
      <c r="E4644" s="54"/>
      <c r="G4644"/>
    </row>
    <row r="4645" spans="5:7" x14ac:dyDescent="0.25">
      <c r="E4645" s="54"/>
      <c r="G4645"/>
    </row>
    <row r="4646" spans="5:7" x14ac:dyDescent="0.25">
      <c r="E4646" s="54"/>
      <c r="G4646"/>
    </row>
    <row r="4647" spans="5:7" x14ac:dyDescent="0.25">
      <c r="E4647" s="54"/>
      <c r="G4647"/>
    </row>
    <row r="4648" spans="5:7" x14ac:dyDescent="0.25">
      <c r="E4648" s="54"/>
      <c r="G4648"/>
    </row>
    <row r="4649" spans="5:7" x14ac:dyDescent="0.25">
      <c r="E4649" s="54"/>
      <c r="G4649"/>
    </row>
    <row r="4650" spans="5:7" x14ac:dyDescent="0.25">
      <c r="E4650" s="54"/>
      <c r="G4650"/>
    </row>
    <row r="4651" spans="5:7" x14ac:dyDescent="0.25">
      <c r="E4651" s="54"/>
      <c r="G4651"/>
    </row>
    <row r="4652" spans="5:7" x14ac:dyDescent="0.25">
      <c r="E4652" s="54"/>
      <c r="G4652"/>
    </row>
    <row r="4653" spans="5:7" x14ac:dyDescent="0.25">
      <c r="E4653" s="54"/>
      <c r="G4653"/>
    </row>
    <row r="4654" spans="5:7" x14ac:dyDescent="0.25">
      <c r="E4654" s="54"/>
      <c r="G4654"/>
    </row>
    <row r="4655" spans="5:7" x14ac:dyDescent="0.25">
      <c r="E4655" s="54"/>
      <c r="G4655"/>
    </row>
    <row r="4656" spans="5:7" x14ac:dyDescent="0.25">
      <c r="E4656" s="54"/>
      <c r="G4656"/>
    </row>
    <row r="4657" spans="1:7" x14ac:dyDescent="0.25">
      <c r="E4657" s="54"/>
      <c r="G4657"/>
    </row>
    <row r="4658" spans="1:7" x14ac:dyDescent="0.25">
      <c r="E4658" s="54"/>
      <c r="G4658"/>
    </row>
    <row r="4659" spans="1:7" x14ac:dyDescent="0.25">
      <c r="E4659" s="54"/>
      <c r="G4659"/>
    </row>
    <row r="4660" spans="1:7" x14ac:dyDescent="0.25">
      <c r="E4660" s="54"/>
      <c r="G4660"/>
    </row>
    <row r="4661" spans="1:7" x14ac:dyDescent="0.25">
      <c r="A4661" s="39"/>
      <c r="E4661" s="54"/>
      <c r="G4661"/>
    </row>
    <row r="4662" spans="1:7" x14ac:dyDescent="0.25">
      <c r="A4662" s="39"/>
      <c r="E4662" s="54"/>
      <c r="G4662"/>
    </row>
    <row r="4663" spans="1:7" x14ac:dyDescent="0.25">
      <c r="A4663" s="39"/>
      <c r="E4663" s="54"/>
      <c r="G4663"/>
    </row>
    <row r="4664" spans="1:7" x14ac:dyDescent="0.25">
      <c r="A4664" s="39"/>
      <c r="E4664" s="54"/>
      <c r="G4664"/>
    </row>
    <row r="4665" spans="1:7" x14ac:dyDescent="0.25">
      <c r="A4665" s="39"/>
      <c r="E4665" s="54"/>
      <c r="G4665"/>
    </row>
    <row r="4666" spans="1:7" x14ac:dyDescent="0.25">
      <c r="A4666" s="39"/>
      <c r="E4666" s="54"/>
      <c r="G4666"/>
    </row>
    <row r="4667" spans="1:7" x14ac:dyDescent="0.25">
      <c r="A4667" s="39"/>
      <c r="E4667" s="54"/>
      <c r="G4667"/>
    </row>
    <row r="4668" spans="1:7" x14ac:dyDescent="0.25">
      <c r="A4668" s="39"/>
      <c r="E4668" s="54"/>
      <c r="G4668"/>
    </row>
    <row r="4669" spans="1:7" x14ac:dyDescent="0.25">
      <c r="A4669" s="39"/>
      <c r="E4669" s="54"/>
      <c r="G4669"/>
    </row>
    <row r="4670" spans="1:7" x14ac:dyDescent="0.25">
      <c r="A4670" s="39"/>
      <c r="E4670" s="54"/>
      <c r="G4670"/>
    </row>
    <row r="4671" spans="1:7" x14ac:dyDescent="0.25">
      <c r="A4671" s="39"/>
      <c r="E4671" s="54"/>
      <c r="G4671"/>
    </row>
    <row r="4672" spans="1:7" x14ac:dyDescent="0.25">
      <c r="A4672" s="39"/>
      <c r="E4672" s="54"/>
      <c r="G4672"/>
    </row>
    <row r="4673" spans="1:7" x14ac:dyDescent="0.25">
      <c r="A4673" s="39"/>
      <c r="E4673" s="54"/>
      <c r="G4673"/>
    </row>
    <row r="4674" spans="1:7" x14ac:dyDescent="0.25">
      <c r="A4674" s="39"/>
      <c r="E4674" s="54"/>
      <c r="G4674"/>
    </row>
    <row r="4675" spans="1:7" x14ac:dyDescent="0.25">
      <c r="A4675" s="39"/>
      <c r="E4675" s="54"/>
      <c r="G4675"/>
    </row>
    <row r="4676" spans="1:7" x14ac:dyDescent="0.25">
      <c r="A4676" s="39"/>
      <c r="E4676" s="54"/>
      <c r="G4676"/>
    </row>
    <row r="4677" spans="1:7" x14ac:dyDescent="0.25">
      <c r="A4677" s="39"/>
      <c r="E4677" s="54"/>
      <c r="G4677"/>
    </row>
    <row r="4678" spans="1:7" x14ac:dyDescent="0.25">
      <c r="A4678" s="39"/>
      <c r="E4678" s="54"/>
      <c r="G4678"/>
    </row>
    <row r="4679" spans="1:7" x14ac:dyDescent="0.25">
      <c r="A4679" s="39"/>
      <c r="E4679" s="54"/>
      <c r="G4679"/>
    </row>
    <row r="4680" spans="1:7" x14ac:dyDescent="0.25">
      <c r="A4680" s="39"/>
      <c r="E4680" s="54"/>
      <c r="G4680"/>
    </row>
    <row r="4681" spans="1:7" x14ac:dyDescent="0.25">
      <c r="A4681" s="39"/>
      <c r="E4681" s="54"/>
      <c r="G4681"/>
    </row>
    <row r="4682" spans="1:7" x14ac:dyDescent="0.25">
      <c r="A4682" s="39"/>
      <c r="E4682" s="54"/>
      <c r="G4682"/>
    </row>
    <row r="4683" spans="1:7" x14ac:dyDescent="0.25">
      <c r="A4683" s="39"/>
      <c r="E4683" s="54"/>
      <c r="G4683"/>
    </row>
    <row r="4684" spans="1:7" x14ac:dyDescent="0.25">
      <c r="A4684" s="39"/>
      <c r="E4684" s="54"/>
      <c r="G4684"/>
    </row>
    <row r="4685" spans="1:7" x14ac:dyDescent="0.25">
      <c r="A4685" s="39"/>
      <c r="E4685" s="54"/>
      <c r="G4685"/>
    </row>
    <row r="4686" spans="1:7" x14ac:dyDescent="0.25">
      <c r="A4686" s="39"/>
      <c r="E4686" s="54"/>
      <c r="G4686"/>
    </row>
    <row r="4687" spans="1:7" x14ac:dyDescent="0.25">
      <c r="A4687" s="39"/>
      <c r="E4687" s="54"/>
      <c r="G4687"/>
    </row>
    <row r="4688" spans="1:7" x14ac:dyDescent="0.25">
      <c r="A4688" s="39"/>
      <c r="E4688" s="54"/>
      <c r="G4688"/>
    </row>
    <row r="4689" spans="1:7" x14ac:dyDescent="0.25">
      <c r="A4689" s="39"/>
      <c r="E4689" s="54"/>
      <c r="G4689"/>
    </row>
    <row r="4690" spans="1:7" x14ac:dyDescent="0.25">
      <c r="A4690" s="39"/>
      <c r="E4690" s="54"/>
      <c r="G4690"/>
    </row>
    <row r="4691" spans="1:7" x14ac:dyDescent="0.25">
      <c r="A4691" s="39"/>
      <c r="E4691" s="54"/>
      <c r="G4691"/>
    </row>
    <row r="4692" spans="1:7" x14ac:dyDescent="0.25">
      <c r="E4692" s="54"/>
      <c r="G4692"/>
    </row>
    <row r="4693" spans="1:7" x14ac:dyDescent="0.25">
      <c r="E4693" s="54"/>
      <c r="G4693"/>
    </row>
    <row r="4694" spans="1:7" x14ac:dyDescent="0.25">
      <c r="E4694" s="54"/>
      <c r="G4694"/>
    </row>
    <row r="4695" spans="1:7" x14ac:dyDescent="0.25">
      <c r="E4695" s="54"/>
      <c r="G4695"/>
    </row>
    <row r="4696" spans="1:7" x14ac:dyDescent="0.25">
      <c r="E4696" s="54"/>
      <c r="G4696"/>
    </row>
    <row r="4697" spans="1:7" x14ac:dyDescent="0.25">
      <c r="E4697" s="54"/>
      <c r="G4697"/>
    </row>
    <row r="4698" spans="1:7" x14ac:dyDescent="0.25">
      <c r="E4698" s="54"/>
      <c r="G4698"/>
    </row>
    <row r="4699" spans="1:7" x14ac:dyDescent="0.25">
      <c r="E4699" s="54"/>
      <c r="G4699"/>
    </row>
    <row r="4700" spans="1:7" x14ac:dyDescent="0.25">
      <c r="E4700" s="54"/>
      <c r="G4700"/>
    </row>
    <row r="4701" spans="1:7" x14ac:dyDescent="0.25">
      <c r="E4701" s="54"/>
      <c r="G4701"/>
    </row>
    <row r="4702" spans="1:7" x14ac:dyDescent="0.25">
      <c r="E4702" s="54"/>
      <c r="G4702"/>
    </row>
    <row r="4703" spans="1:7" x14ac:dyDescent="0.25">
      <c r="E4703" s="54"/>
      <c r="G4703"/>
    </row>
    <row r="4704" spans="1:7" x14ac:dyDescent="0.25">
      <c r="E4704" s="54"/>
      <c r="G4704"/>
    </row>
    <row r="4705" spans="1:7" x14ac:dyDescent="0.25">
      <c r="E4705" s="54"/>
      <c r="G4705"/>
    </row>
    <row r="4706" spans="1:7" x14ac:dyDescent="0.25">
      <c r="E4706" s="54"/>
      <c r="G4706"/>
    </row>
    <row r="4707" spans="1:7" x14ac:dyDescent="0.25">
      <c r="E4707" s="54"/>
      <c r="G4707"/>
    </row>
    <row r="4708" spans="1:7" x14ac:dyDescent="0.25">
      <c r="E4708" s="54"/>
      <c r="G4708"/>
    </row>
    <row r="4709" spans="1:7" x14ac:dyDescent="0.25">
      <c r="E4709" s="54"/>
      <c r="G4709"/>
    </row>
    <row r="4710" spans="1:7" x14ac:dyDescent="0.25">
      <c r="E4710" s="54"/>
      <c r="G4710"/>
    </row>
    <row r="4711" spans="1:7" x14ac:dyDescent="0.25">
      <c r="E4711" s="54"/>
      <c r="G4711"/>
    </row>
    <row r="4712" spans="1:7" x14ac:dyDescent="0.25">
      <c r="E4712" s="54"/>
      <c r="G4712"/>
    </row>
    <row r="4713" spans="1:7" x14ac:dyDescent="0.25">
      <c r="E4713" s="54"/>
      <c r="G4713"/>
    </row>
    <row r="4714" spans="1:7" x14ac:dyDescent="0.25">
      <c r="A4714" s="39"/>
      <c r="E4714" s="54"/>
      <c r="G4714"/>
    </row>
    <row r="4715" spans="1:7" x14ac:dyDescent="0.25">
      <c r="A4715" s="39"/>
      <c r="E4715" s="54"/>
      <c r="G4715"/>
    </row>
    <row r="4716" spans="1:7" x14ac:dyDescent="0.25">
      <c r="A4716" s="39"/>
      <c r="E4716" s="54"/>
      <c r="G4716"/>
    </row>
    <row r="4717" spans="1:7" x14ac:dyDescent="0.25">
      <c r="A4717" s="39"/>
      <c r="E4717" s="54"/>
      <c r="G4717"/>
    </row>
    <row r="4718" spans="1:7" x14ac:dyDescent="0.25">
      <c r="A4718" s="39"/>
      <c r="E4718" s="54"/>
      <c r="G4718"/>
    </row>
    <row r="4719" spans="1:7" x14ac:dyDescent="0.25">
      <c r="A4719" s="39"/>
      <c r="E4719" s="54"/>
      <c r="G4719"/>
    </row>
    <row r="4720" spans="1:7" x14ac:dyDescent="0.25">
      <c r="A4720" s="39"/>
      <c r="E4720" s="54"/>
      <c r="G4720"/>
    </row>
    <row r="4721" spans="1:7" x14ac:dyDescent="0.25">
      <c r="A4721" s="39"/>
      <c r="E4721" s="54"/>
      <c r="G4721"/>
    </row>
    <row r="4722" spans="1:7" x14ac:dyDescent="0.25">
      <c r="A4722" s="39"/>
      <c r="E4722" s="54"/>
      <c r="G4722"/>
    </row>
    <row r="4723" spans="1:7" x14ac:dyDescent="0.25">
      <c r="E4723" s="54"/>
      <c r="G4723"/>
    </row>
    <row r="4724" spans="1:7" x14ac:dyDescent="0.25">
      <c r="E4724" s="54"/>
      <c r="G4724"/>
    </row>
    <row r="4725" spans="1:7" x14ac:dyDescent="0.25">
      <c r="E4725" s="54"/>
      <c r="G4725"/>
    </row>
    <row r="4726" spans="1:7" x14ac:dyDescent="0.25">
      <c r="E4726" s="54"/>
      <c r="G4726"/>
    </row>
    <row r="4727" spans="1:7" x14ac:dyDescent="0.25">
      <c r="E4727" s="54"/>
      <c r="G4727"/>
    </row>
    <row r="4728" spans="1:7" x14ac:dyDescent="0.25">
      <c r="A4728" s="39"/>
      <c r="E4728" s="54"/>
      <c r="G4728"/>
    </row>
    <row r="4729" spans="1:7" x14ac:dyDescent="0.25">
      <c r="A4729" s="39"/>
      <c r="E4729" s="54"/>
      <c r="G4729"/>
    </row>
    <row r="4730" spans="1:7" x14ac:dyDescent="0.25">
      <c r="A4730" s="39"/>
      <c r="E4730" s="54"/>
      <c r="G4730"/>
    </row>
    <row r="4731" spans="1:7" x14ac:dyDescent="0.25">
      <c r="A4731" s="39"/>
      <c r="E4731" s="54"/>
      <c r="G4731"/>
    </row>
    <row r="4732" spans="1:7" x14ac:dyDescent="0.25">
      <c r="A4732" s="39"/>
      <c r="E4732" s="54"/>
      <c r="G4732"/>
    </row>
    <row r="4733" spans="1:7" x14ac:dyDescent="0.25">
      <c r="A4733" s="39"/>
      <c r="E4733" s="54"/>
      <c r="G4733"/>
    </row>
    <row r="4734" spans="1:7" x14ac:dyDescent="0.25">
      <c r="A4734" s="39"/>
      <c r="E4734" s="54"/>
      <c r="G4734"/>
    </row>
    <row r="4735" spans="1:7" x14ac:dyDescent="0.25">
      <c r="A4735" s="39"/>
      <c r="E4735" s="54"/>
      <c r="G4735"/>
    </row>
    <row r="4736" spans="1:7" x14ac:dyDescent="0.25">
      <c r="A4736" s="39"/>
      <c r="E4736" s="54"/>
      <c r="G4736"/>
    </row>
    <row r="4737" spans="1:7" x14ac:dyDescent="0.25">
      <c r="A4737" s="39"/>
      <c r="E4737" s="54"/>
      <c r="G4737"/>
    </row>
    <row r="4738" spans="1:7" x14ac:dyDescent="0.25">
      <c r="E4738" s="54"/>
      <c r="G4738"/>
    </row>
    <row r="4739" spans="1:7" x14ac:dyDescent="0.25">
      <c r="E4739" s="54"/>
      <c r="G4739"/>
    </row>
    <row r="4740" spans="1:7" x14ac:dyDescent="0.25">
      <c r="E4740" s="54"/>
      <c r="G4740"/>
    </row>
    <row r="4741" spans="1:7" x14ac:dyDescent="0.25">
      <c r="E4741" s="54"/>
      <c r="G4741"/>
    </row>
    <row r="4742" spans="1:7" x14ac:dyDescent="0.25">
      <c r="E4742" s="54"/>
      <c r="G4742"/>
    </row>
    <row r="4743" spans="1:7" x14ac:dyDescent="0.25">
      <c r="E4743" s="54"/>
      <c r="G4743"/>
    </row>
    <row r="4744" spans="1:7" x14ac:dyDescent="0.25">
      <c r="E4744" s="54"/>
      <c r="G4744"/>
    </row>
    <row r="4745" spans="1:7" x14ac:dyDescent="0.25">
      <c r="E4745" s="54"/>
      <c r="G4745"/>
    </row>
    <row r="4746" spans="1:7" x14ac:dyDescent="0.25">
      <c r="E4746" s="54"/>
      <c r="G4746"/>
    </row>
    <row r="4747" spans="1:7" x14ac:dyDescent="0.25">
      <c r="E4747" s="54"/>
      <c r="G4747"/>
    </row>
    <row r="4748" spans="1:7" x14ac:dyDescent="0.25">
      <c r="E4748" s="54"/>
      <c r="G4748"/>
    </row>
    <row r="4749" spans="1:7" x14ac:dyDescent="0.25">
      <c r="E4749" s="54"/>
      <c r="G4749"/>
    </row>
    <row r="4750" spans="1:7" x14ac:dyDescent="0.25">
      <c r="E4750" s="54"/>
      <c r="G4750"/>
    </row>
    <row r="4751" spans="1:7" x14ac:dyDescent="0.25">
      <c r="E4751" s="54"/>
      <c r="G4751"/>
    </row>
    <row r="4752" spans="1:7" x14ac:dyDescent="0.25">
      <c r="E4752" s="54"/>
      <c r="G4752"/>
    </row>
    <row r="4753" spans="1:7" x14ac:dyDescent="0.25">
      <c r="E4753" s="54"/>
      <c r="G4753"/>
    </row>
    <row r="4754" spans="1:7" x14ac:dyDescent="0.25">
      <c r="E4754" s="54"/>
      <c r="G4754"/>
    </row>
    <row r="4755" spans="1:7" x14ac:dyDescent="0.25">
      <c r="E4755" s="54"/>
      <c r="G4755"/>
    </row>
    <row r="4756" spans="1:7" x14ac:dyDescent="0.25">
      <c r="E4756" s="54"/>
      <c r="G4756"/>
    </row>
    <row r="4757" spans="1:7" x14ac:dyDescent="0.25">
      <c r="E4757" s="54"/>
      <c r="G4757"/>
    </row>
    <row r="4758" spans="1:7" x14ac:dyDescent="0.25">
      <c r="E4758" s="54"/>
      <c r="G4758"/>
    </row>
    <row r="4759" spans="1:7" x14ac:dyDescent="0.25">
      <c r="E4759" s="54"/>
      <c r="G4759"/>
    </row>
    <row r="4760" spans="1:7" x14ac:dyDescent="0.25">
      <c r="A4760" s="39"/>
      <c r="E4760" s="54"/>
      <c r="G4760"/>
    </row>
    <row r="4761" spans="1:7" x14ac:dyDescent="0.25">
      <c r="A4761" s="39"/>
      <c r="E4761" s="54"/>
      <c r="G4761"/>
    </row>
    <row r="4762" spans="1:7" x14ac:dyDescent="0.25">
      <c r="A4762" s="39"/>
      <c r="E4762" s="54"/>
      <c r="G4762"/>
    </row>
    <row r="4763" spans="1:7" x14ac:dyDescent="0.25">
      <c r="A4763" s="39"/>
      <c r="E4763" s="54"/>
      <c r="G4763"/>
    </row>
    <row r="4764" spans="1:7" x14ac:dyDescent="0.25">
      <c r="A4764" s="39"/>
      <c r="E4764" s="54"/>
      <c r="G4764"/>
    </row>
    <row r="4765" spans="1:7" x14ac:dyDescent="0.25">
      <c r="A4765" s="39"/>
      <c r="E4765" s="54"/>
      <c r="G4765"/>
    </row>
    <row r="4766" spans="1:7" x14ac:dyDescent="0.25">
      <c r="A4766" s="39"/>
      <c r="E4766" s="54"/>
      <c r="G4766"/>
    </row>
    <row r="4767" spans="1:7" x14ac:dyDescent="0.25">
      <c r="A4767" s="39"/>
      <c r="E4767" s="54"/>
      <c r="G4767"/>
    </row>
    <row r="4768" spans="1:7" x14ac:dyDescent="0.25">
      <c r="A4768" s="39"/>
      <c r="E4768" s="54"/>
      <c r="G4768"/>
    </row>
    <row r="4769" spans="1:7" x14ac:dyDescent="0.25">
      <c r="A4769" s="39"/>
      <c r="E4769" s="54"/>
      <c r="G4769"/>
    </row>
    <row r="4770" spans="1:7" x14ac:dyDescent="0.25">
      <c r="A4770" s="39"/>
      <c r="E4770" s="54"/>
      <c r="G4770"/>
    </row>
    <row r="4771" spans="1:7" x14ac:dyDescent="0.25">
      <c r="A4771" s="39"/>
      <c r="E4771" s="54"/>
      <c r="G4771"/>
    </row>
    <row r="4772" spans="1:7" x14ac:dyDescent="0.25">
      <c r="A4772" s="39"/>
      <c r="E4772" s="54"/>
      <c r="G4772"/>
    </row>
    <row r="4773" spans="1:7" x14ac:dyDescent="0.25">
      <c r="A4773" s="39"/>
      <c r="E4773" s="54"/>
      <c r="G4773"/>
    </row>
    <row r="4774" spans="1:7" x14ac:dyDescent="0.25">
      <c r="A4774" s="39"/>
      <c r="E4774" s="54"/>
      <c r="G4774"/>
    </row>
    <row r="4775" spans="1:7" x14ac:dyDescent="0.25">
      <c r="A4775" s="39"/>
      <c r="E4775" s="54"/>
      <c r="G4775"/>
    </row>
    <row r="4776" spans="1:7" x14ac:dyDescent="0.25">
      <c r="A4776" s="39"/>
      <c r="E4776" s="54"/>
      <c r="G4776"/>
    </row>
    <row r="4777" spans="1:7" x14ac:dyDescent="0.25">
      <c r="A4777" s="39"/>
      <c r="E4777" s="54"/>
      <c r="G4777"/>
    </row>
    <row r="4778" spans="1:7" x14ac:dyDescent="0.25">
      <c r="A4778" s="39"/>
      <c r="E4778" s="54"/>
      <c r="G4778"/>
    </row>
    <row r="4779" spans="1:7" x14ac:dyDescent="0.25">
      <c r="A4779" s="39"/>
      <c r="E4779" s="54"/>
      <c r="G4779"/>
    </row>
    <row r="4780" spans="1:7" x14ac:dyDescent="0.25">
      <c r="A4780" s="39"/>
      <c r="E4780" s="54"/>
      <c r="G4780"/>
    </row>
    <row r="4781" spans="1:7" x14ac:dyDescent="0.25">
      <c r="A4781" s="39"/>
      <c r="E4781" s="54"/>
      <c r="G4781"/>
    </row>
    <row r="4782" spans="1:7" x14ac:dyDescent="0.25">
      <c r="A4782" s="39"/>
      <c r="E4782" s="54"/>
      <c r="G4782"/>
    </row>
    <row r="4783" spans="1:7" x14ac:dyDescent="0.25">
      <c r="A4783" s="39"/>
      <c r="E4783" s="54"/>
      <c r="G4783"/>
    </row>
    <row r="4784" spans="1:7" x14ac:dyDescent="0.25">
      <c r="A4784" s="39"/>
      <c r="E4784" s="54"/>
      <c r="G4784"/>
    </row>
    <row r="4785" spans="1:7" x14ac:dyDescent="0.25">
      <c r="A4785" s="39"/>
      <c r="E4785" s="54"/>
      <c r="G4785"/>
    </row>
    <row r="4786" spans="1:7" x14ac:dyDescent="0.25">
      <c r="A4786" s="39"/>
      <c r="E4786" s="54"/>
      <c r="G4786"/>
    </row>
    <row r="4787" spans="1:7" x14ac:dyDescent="0.25">
      <c r="A4787" s="39"/>
      <c r="E4787" s="54"/>
      <c r="G4787"/>
    </row>
    <row r="4788" spans="1:7" x14ac:dyDescent="0.25">
      <c r="A4788" s="39"/>
      <c r="E4788" s="54"/>
      <c r="G4788"/>
    </row>
    <row r="4789" spans="1:7" x14ac:dyDescent="0.25">
      <c r="A4789" s="39"/>
      <c r="E4789" s="54"/>
      <c r="G4789"/>
    </row>
    <row r="4790" spans="1:7" x14ac:dyDescent="0.25">
      <c r="A4790" s="39"/>
      <c r="E4790" s="54"/>
      <c r="G4790"/>
    </row>
    <row r="4791" spans="1:7" x14ac:dyDescent="0.25">
      <c r="E4791" s="54"/>
      <c r="G4791"/>
    </row>
    <row r="4792" spans="1:7" x14ac:dyDescent="0.25">
      <c r="A4792" s="39"/>
      <c r="E4792" s="54"/>
      <c r="G4792"/>
    </row>
    <row r="4793" spans="1:7" x14ac:dyDescent="0.25">
      <c r="A4793" s="40"/>
      <c r="E4793" s="54"/>
      <c r="G4793"/>
    </row>
    <row r="4794" spans="1:7" x14ac:dyDescent="0.25">
      <c r="A4794" s="40"/>
      <c r="E4794" s="54"/>
      <c r="G4794"/>
    </row>
    <row r="4795" spans="1:7" x14ac:dyDescent="0.25">
      <c r="A4795" s="40"/>
      <c r="E4795" s="54"/>
      <c r="G4795"/>
    </row>
    <row r="4796" spans="1:7" x14ac:dyDescent="0.25">
      <c r="A4796" s="40"/>
      <c r="E4796" s="54"/>
      <c r="G4796"/>
    </row>
    <row r="4797" spans="1:7" x14ac:dyDescent="0.25">
      <c r="A4797" s="40"/>
      <c r="E4797" s="54"/>
      <c r="G4797"/>
    </row>
    <row r="4798" spans="1:7" x14ac:dyDescent="0.25">
      <c r="A4798" s="40"/>
      <c r="E4798" s="54"/>
      <c r="G4798"/>
    </row>
    <row r="4799" spans="1:7" x14ac:dyDescent="0.25">
      <c r="A4799" s="40"/>
      <c r="E4799" s="54"/>
      <c r="G4799"/>
    </row>
    <row r="4800" spans="1:7" x14ac:dyDescent="0.25">
      <c r="A4800" s="40"/>
      <c r="E4800" s="54"/>
      <c r="G4800"/>
    </row>
    <row r="4801" spans="1:7" x14ac:dyDescent="0.25">
      <c r="A4801" s="40"/>
      <c r="E4801" s="54"/>
      <c r="G4801"/>
    </row>
    <row r="4802" spans="1:7" x14ac:dyDescent="0.25">
      <c r="A4802" s="40"/>
      <c r="E4802" s="54"/>
      <c r="G4802"/>
    </row>
    <row r="4803" spans="1:7" x14ac:dyDescent="0.25">
      <c r="A4803" s="40"/>
      <c r="E4803" s="54"/>
      <c r="G4803"/>
    </row>
    <row r="4804" spans="1:7" x14ac:dyDescent="0.25">
      <c r="A4804" s="40"/>
      <c r="E4804" s="54"/>
      <c r="G4804"/>
    </row>
    <row r="4805" spans="1:7" x14ac:dyDescent="0.25">
      <c r="A4805" s="40"/>
      <c r="E4805" s="54"/>
      <c r="G4805"/>
    </row>
    <row r="4806" spans="1:7" x14ac:dyDescent="0.25">
      <c r="A4806" s="40"/>
      <c r="E4806" s="54"/>
      <c r="G4806"/>
    </row>
    <row r="4807" spans="1:7" x14ac:dyDescent="0.25">
      <c r="A4807" s="40"/>
      <c r="E4807" s="54"/>
      <c r="G4807"/>
    </row>
    <row r="4808" spans="1:7" x14ac:dyDescent="0.25">
      <c r="A4808" s="40"/>
      <c r="E4808" s="54"/>
      <c r="G4808"/>
    </row>
    <row r="4809" spans="1:7" x14ac:dyDescent="0.25">
      <c r="A4809" s="40"/>
      <c r="E4809" s="54"/>
      <c r="G4809"/>
    </row>
    <row r="4810" spans="1:7" x14ac:dyDescent="0.25">
      <c r="A4810" s="40"/>
      <c r="E4810" s="54"/>
      <c r="G4810"/>
    </row>
    <row r="4811" spans="1:7" x14ac:dyDescent="0.25">
      <c r="A4811" s="40"/>
      <c r="E4811" s="54"/>
      <c r="G4811"/>
    </row>
    <row r="4812" spans="1:7" x14ac:dyDescent="0.25">
      <c r="A4812" s="40"/>
      <c r="E4812" s="54"/>
      <c r="G4812"/>
    </row>
    <row r="4813" spans="1:7" x14ac:dyDescent="0.25">
      <c r="A4813" s="40"/>
      <c r="E4813" s="54"/>
      <c r="G4813"/>
    </row>
    <row r="4814" spans="1:7" x14ac:dyDescent="0.25">
      <c r="A4814" s="40"/>
      <c r="E4814" s="54"/>
      <c r="F4814"/>
      <c r="G4814"/>
    </row>
    <row r="4815" spans="1:7" x14ac:dyDescent="0.25">
      <c r="A4815" s="39"/>
      <c r="E4815" s="54"/>
      <c r="F4815" s="2"/>
      <c r="G4815"/>
    </row>
    <row r="4816" spans="1:7" x14ac:dyDescent="0.25">
      <c r="A4816" s="39"/>
      <c r="E4816" s="54"/>
      <c r="F4816"/>
      <c r="G4816"/>
    </row>
    <row r="4817" spans="1:7" x14ac:dyDescent="0.25">
      <c r="A4817" s="39"/>
      <c r="E4817" s="54"/>
      <c r="F4817"/>
      <c r="G4817"/>
    </row>
    <row r="4818" spans="1:7" x14ac:dyDescent="0.25">
      <c r="A4818" s="40"/>
      <c r="E4818" s="54"/>
      <c r="F4818" s="2"/>
      <c r="G4818"/>
    </row>
    <row r="4819" spans="1:7" x14ac:dyDescent="0.25">
      <c r="A4819" s="40"/>
      <c r="E4819" s="54"/>
      <c r="F4819" s="2"/>
      <c r="G4819"/>
    </row>
    <row r="4820" spans="1:7" x14ac:dyDescent="0.25">
      <c r="A4820" s="40"/>
      <c r="E4820" s="54"/>
      <c r="F4820" s="2"/>
      <c r="G4820"/>
    </row>
    <row r="4821" spans="1:7" x14ac:dyDescent="0.25">
      <c r="A4821" s="40"/>
      <c r="E4821" s="54"/>
      <c r="F4821" s="2"/>
      <c r="G4821"/>
    </row>
    <row r="4822" spans="1:7" x14ac:dyDescent="0.25">
      <c r="A4822" s="45"/>
      <c r="E4822" s="54"/>
      <c r="F4822"/>
      <c r="G4822"/>
    </row>
    <row r="4823" spans="1:7" x14ac:dyDescent="0.25">
      <c r="A4823" s="45"/>
      <c r="E4823" s="54"/>
      <c r="F4823"/>
      <c r="G4823"/>
    </row>
    <row r="4824" spans="1:7" x14ac:dyDescent="0.25">
      <c r="A4824" s="39"/>
      <c r="E4824" s="54"/>
      <c r="F4824"/>
      <c r="G4824"/>
    </row>
    <row r="4825" spans="1:7" x14ac:dyDescent="0.25">
      <c r="A4825" s="39"/>
      <c r="E4825" s="54"/>
      <c r="F4825"/>
      <c r="G4825"/>
    </row>
    <row r="4826" spans="1:7" x14ac:dyDescent="0.25">
      <c r="A4826" s="39"/>
      <c r="E4826" s="54"/>
      <c r="F4826"/>
      <c r="G4826"/>
    </row>
    <row r="4827" spans="1:7" x14ac:dyDescent="0.25">
      <c r="A4827" s="39"/>
      <c r="E4827" s="54"/>
      <c r="F4827"/>
      <c r="G4827"/>
    </row>
    <row r="4828" spans="1:7" x14ac:dyDescent="0.25">
      <c r="A4828" s="45"/>
      <c r="E4828" s="54"/>
      <c r="F4828"/>
      <c r="G4828"/>
    </row>
    <row r="4829" spans="1:7" x14ac:dyDescent="0.25">
      <c r="A4829" s="39"/>
      <c r="E4829" s="54"/>
      <c r="F4829"/>
      <c r="G4829"/>
    </row>
    <row r="4830" spans="1:7" x14ac:dyDescent="0.25">
      <c r="A4830" s="39"/>
      <c r="E4830" s="54"/>
      <c r="F4830"/>
      <c r="G4830"/>
    </row>
    <row r="4831" spans="1:7" x14ac:dyDescent="0.25">
      <c r="A4831" s="39"/>
      <c r="E4831" s="54"/>
      <c r="F4831"/>
      <c r="G4831"/>
    </row>
    <row r="4832" spans="1:7" x14ac:dyDescent="0.25">
      <c r="A4832" s="39"/>
      <c r="E4832" s="54"/>
      <c r="F4832"/>
      <c r="G4832"/>
    </row>
    <row r="4833" spans="1:7" x14ac:dyDescent="0.25">
      <c r="A4833" s="39"/>
      <c r="E4833" s="54"/>
      <c r="F4833"/>
      <c r="G4833"/>
    </row>
    <row r="4834" spans="1:7" x14ac:dyDescent="0.25">
      <c r="A4834" s="39"/>
      <c r="E4834" s="54"/>
      <c r="F4834"/>
      <c r="G4834"/>
    </row>
    <row r="4835" spans="1:7" x14ac:dyDescent="0.25">
      <c r="A4835" s="39"/>
      <c r="E4835" s="54"/>
      <c r="F4835"/>
      <c r="G4835"/>
    </row>
    <row r="4836" spans="1:7" x14ac:dyDescent="0.25">
      <c r="A4836" s="39"/>
      <c r="E4836" s="54"/>
      <c r="F4836"/>
      <c r="G4836"/>
    </row>
    <row r="4837" spans="1:7" x14ac:dyDescent="0.25">
      <c r="A4837" s="39"/>
      <c r="E4837" s="54"/>
      <c r="F4837"/>
      <c r="G4837"/>
    </row>
    <row r="4838" spans="1:7" x14ac:dyDescent="0.25">
      <c r="A4838" s="39"/>
      <c r="E4838" s="54"/>
      <c r="F4838"/>
      <c r="G4838"/>
    </row>
    <row r="4839" spans="1:7" x14ac:dyDescent="0.25">
      <c r="A4839" s="39"/>
      <c r="E4839" s="54"/>
      <c r="F4839"/>
      <c r="G4839"/>
    </row>
    <row r="4840" spans="1:7" x14ac:dyDescent="0.25">
      <c r="A4840" s="39"/>
      <c r="E4840" s="54"/>
      <c r="F4840"/>
      <c r="G4840"/>
    </row>
    <row r="4841" spans="1:7" x14ac:dyDescent="0.25">
      <c r="A4841" s="39"/>
      <c r="E4841" s="54"/>
      <c r="F4841"/>
      <c r="G4841"/>
    </row>
    <row r="4842" spans="1:7" x14ac:dyDescent="0.25">
      <c r="A4842" s="39"/>
      <c r="E4842" s="54"/>
      <c r="F4842"/>
      <c r="G4842"/>
    </row>
    <row r="4843" spans="1:7" x14ac:dyDescent="0.25">
      <c r="A4843" s="39"/>
      <c r="E4843" s="54"/>
      <c r="F4843"/>
      <c r="G4843"/>
    </row>
    <row r="4844" spans="1:7" x14ac:dyDescent="0.25">
      <c r="A4844" s="39"/>
      <c r="E4844" s="54"/>
      <c r="F4844"/>
      <c r="G4844"/>
    </row>
    <row r="4845" spans="1:7" x14ac:dyDescent="0.25">
      <c r="A4845" s="39"/>
      <c r="E4845" s="54"/>
      <c r="F4845"/>
      <c r="G4845"/>
    </row>
    <row r="4846" spans="1:7" x14ac:dyDescent="0.25">
      <c r="A4846" s="39"/>
      <c r="E4846" s="54"/>
      <c r="F4846"/>
      <c r="G4846"/>
    </row>
    <row r="4847" spans="1:7" x14ac:dyDescent="0.25">
      <c r="A4847" s="39"/>
      <c r="E4847" s="54"/>
      <c r="F4847"/>
      <c r="G4847"/>
    </row>
    <row r="4848" spans="1:7" x14ac:dyDescent="0.25">
      <c r="A4848" s="39"/>
      <c r="E4848" s="54"/>
      <c r="F4848"/>
      <c r="G4848"/>
    </row>
    <row r="4849" spans="1:7" x14ac:dyDescent="0.25">
      <c r="A4849" s="39"/>
      <c r="E4849" s="54"/>
      <c r="F4849"/>
      <c r="G4849"/>
    </row>
    <row r="4850" spans="1:7" x14ac:dyDescent="0.25">
      <c r="A4850" s="39"/>
      <c r="E4850" s="54"/>
      <c r="F4850"/>
      <c r="G4850"/>
    </row>
    <row r="4851" spans="1:7" x14ac:dyDescent="0.25">
      <c r="A4851" s="39"/>
      <c r="E4851" s="54"/>
      <c r="F4851"/>
      <c r="G4851"/>
    </row>
    <row r="4852" spans="1:7" x14ac:dyDescent="0.25">
      <c r="A4852" s="39"/>
      <c r="E4852" s="54"/>
      <c r="F4852"/>
      <c r="G4852"/>
    </row>
    <row r="4853" spans="1:7" x14ac:dyDescent="0.25">
      <c r="A4853" s="39"/>
      <c r="E4853" s="54"/>
      <c r="F4853"/>
      <c r="G4853"/>
    </row>
    <row r="4854" spans="1:7" x14ac:dyDescent="0.25">
      <c r="A4854" s="39"/>
      <c r="E4854" s="54"/>
      <c r="F4854"/>
      <c r="G4854"/>
    </row>
    <row r="4855" spans="1:7" x14ac:dyDescent="0.25">
      <c r="A4855" s="39"/>
      <c r="E4855" s="54"/>
      <c r="F4855"/>
      <c r="G4855"/>
    </row>
    <row r="4856" spans="1:7" x14ac:dyDescent="0.25">
      <c r="A4856" s="39"/>
      <c r="E4856" s="54"/>
      <c r="F4856"/>
      <c r="G4856"/>
    </row>
    <row r="4857" spans="1:7" x14ac:dyDescent="0.25">
      <c r="A4857" s="39"/>
      <c r="E4857" s="54"/>
      <c r="F4857"/>
      <c r="G4857"/>
    </row>
    <row r="4858" spans="1:7" x14ac:dyDescent="0.25">
      <c r="A4858" s="39"/>
      <c r="E4858" s="54"/>
      <c r="F4858"/>
      <c r="G4858"/>
    </row>
    <row r="4859" spans="1:7" x14ac:dyDescent="0.25">
      <c r="A4859" s="39"/>
      <c r="E4859" s="54"/>
      <c r="F4859"/>
      <c r="G4859"/>
    </row>
    <row r="4860" spans="1:7" x14ac:dyDescent="0.25">
      <c r="A4860" s="39"/>
      <c r="E4860" s="54"/>
      <c r="F4860"/>
      <c r="G4860"/>
    </row>
    <row r="4861" spans="1:7" x14ac:dyDescent="0.25">
      <c r="A4861" s="39"/>
      <c r="E4861" s="54"/>
      <c r="F4861"/>
      <c r="G4861"/>
    </row>
    <row r="4862" spans="1:7" x14ac:dyDescent="0.25">
      <c r="A4862" s="39"/>
      <c r="E4862" s="54"/>
      <c r="F4862"/>
      <c r="G4862"/>
    </row>
    <row r="4863" spans="1:7" x14ac:dyDescent="0.25">
      <c r="A4863" s="39"/>
      <c r="E4863" s="54"/>
      <c r="F4863"/>
      <c r="G4863"/>
    </row>
    <row r="4864" spans="1:7" x14ac:dyDescent="0.25">
      <c r="A4864" s="39"/>
      <c r="E4864" s="54"/>
      <c r="F4864"/>
      <c r="G4864"/>
    </row>
    <row r="4865" spans="1:7" x14ac:dyDescent="0.25">
      <c r="A4865" s="39"/>
      <c r="E4865" s="54"/>
      <c r="F4865"/>
      <c r="G4865"/>
    </row>
    <row r="4866" spans="1:7" x14ac:dyDescent="0.25">
      <c r="A4866" s="39"/>
      <c r="E4866" s="54"/>
      <c r="F4866"/>
      <c r="G4866"/>
    </row>
    <row r="4867" spans="1:7" x14ac:dyDescent="0.25">
      <c r="A4867" s="39"/>
      <c r="E4867" s="54"/>
      <c r="F4867"/>
      <c r="G4867"/>
    </row>
    <row r="4868" spans="1:7" x14ac:dyDescent="0.25">
      <c r="A4868" s="39"/>
      <c r="E4868" s="54"/>
      <c r="F4868"/>
      <c r="G4868"/>
    </row>
    <row r="4869" spans="1:7" x14ac:dyDescent="0.25">
      <c r="A4869" s="39"/>
      <c r="E4869" s="54"/>
      <c r="F4869"/>
      <c r="G4869"/>
    </row>
    <row r="4870" spans="1:7" x14ac:dyDescent="0.25">
      <c r="A4870" s="39"/>
      <c r="E4870" s="54"/>
      <c r="F4870"/>
      <c r="G4870"/>
    </row>
    <row r="4871" spans="1:7" x14ac:dyDescent="0.25">
      <c r="A4871" s="39"/>
      <c r="E4871" s="54"/>
      <c r="F4871"/>
      <c r="G4871"/>
    </row>
    <row r="4872" spans="1:7" x14ac:dyDescent="0.25">
      <c r="A4872" s="39"/>
      <c r="E4872" s="54"/>
      <c r="F4872"/>
      <c r="G4872"/>
    </row>
    <row r="4873" spans="1:7" x14ac:dyDescent="0.25">
      <c r="A4873" s="39"/>
      <c r="E4873" s="54"/>
      <c r="F4873"/>
      <c r="G4873"/>
    </row>
    <row r="4874" spans="1:7" x14ac:dyDescent="0.25">
      <c r="A4874" s="39"/>
      <c r="E4874" s="54"/>
      <c r="F4874"/>
      <c r="G4874"/>
    </row>
    <row r="4875" spans="1:7" x14ac:dyDescent="0.25">
      <c r="A4875" s="39"/>
      <c r="E4875" s="54"/>
      <c r="F4875"/>
      <c r="G4875"/>
    </row>
    <row r="4876" spans="1:7" x14ac:dyDescent="0.25">
      <c r="A4876" s="39"/>
      <c r="E4876" s="54"/>
      <c r="F4876"/>
      <c r="G4876"/>
    </row>
    <row r="4877" spans="1:7" x14ac:dyDescent="0.25">
      <c r="A4877" s="39"/>
      <c r="E4877" s="54"/>
      <c r="F4877"/>
      <c r="G4877"/>
    </row>
    <row r="4878" spans="1:7" x14ac:dyDescent="0.25">
      <c r="A4878" s="39"/>
      <c r="E4878" s="54"/>
      <c r="F4878"/>
      <c r="G4878"/>
    </row>
    <row r="4879" spans="1:7" x14ac:dyDescent="0.25">
      <c r="A4879" s="39"/>
      <c r="E4879" s="54"/>
      <c r="F4879"/>
      <c r="G4879"/>
    </row>
    <row r="4880" spans="1:7" x14ac:dyDescent="0.25">
      <c r="A4880" s="39"/>
      <c r="E4880" s="54"/>
      <c r="F4880"/>
      <c r="G4880"/>
    </row>
    <row r="4881" spans="1:7" x14ac:dyDescent="0.25">
      <c r="A4881" s="39"/>
      <c r="E4881" s="54"/>
      <c r="F4881"/>
      <c r="G4881"/>
    </row>
    <row r="4882" spans="1:7" x14ac:dyDescent="0.25">
      <c r="A4882" s="39"/>
      <c r="E4882" s="54"/>
      <c r="F4882"/>
      <c r="G4882"/>
    </row>
    <row r="4883" spans="1:7" x14ac:dyDescent="0.25">
      <c r="A4883" s="39"/>
      <c r="E4883" s="54"/>
      <c r="F4883"/>
      <c r="G4883"/>
    </row>
    <row r="4884" spans="1:7" x14ac:dyDescent="0.25">
      <c r="A4884" s="39"/>
      <c r="E4884" s="54"/>
      <c r="F4884"/>
      <c r="G4884"/>
    </row>
    <row r="4885" spans="1:7" x14ac:dyDescent="0.25">
      <c r="A4885" s="39"/>
      <c r="E4885" s="54"/>
      <c r="F4885"/>
      <c r="G4885"/>
    </row>
    <row r="4886" spans="1:7" x14ac:dyDescent="0.25">
      <c r="A4886" s="39"/>
      <c r="E4886" s="54"/>
      <c r="F4886"/>
      <c r="G4886"/>
    </row>
    <row r="4887" spans="1:7" x14ac:dyDescent="0.25">
      <c r="A4887" s="39"/>
      <c r="E4887" s="54"/>
      <c r="F4887"/>
      <c r="G4887"/>
    </row>
    <row r="4888" spans="1:7" x14ac:dyDescent="0.25">
      <c r="A4888" s="39"/>
      <c r="E4888" s="54"/>
      <c r="F4888"/>
      <c r="G4888"/>
    </row>
    <row r="4889" spans="1:7" x14ac:dyDescent="0.25">
      <c r="A4889" s="39"/>
      <c r="E4889" s="54"/>
      <c r="F4889"/>
      <c r="G4889"/>
    </row>
    <row r="4890" spans="1:7" x14ac:dyDescent="0.25">
      <c r="A4890" s="39"/>
      <c r="E4890" s="54"/>
      <c r="F4890"/>
      <c r="G4890"/>
    </row>
    <row r="4891" spans="1:7" x14ac:dyDescent="0.25">
      <c r="A4891" s="39"/>
      <c r="E4891" s="54"/>
      <c r="F4891"/>
      <c r="G4891"/>
    </row>
    <row r="4892" spans="1:7" x14ac:dyDescent="0.25">
      <c r="A4892" s="39"/>
      <c r="E4892" s="54"/>
      <c r="F4892"/>
      <c r="G4892"/>
    </row>
    <row r="4893" spans="1:7" x14ac:dyDescent="0.25">
      <c r="A4893" s="39"/>
      <c r="E4893" s="54"/>
      <c r="F4893"/>
      <c r="G4893"/>
    </row>
    <row r="4894" spans="1:7" x14ac:dyDescent="0.25">
      <c r="A4894" s="39"/>
      <c r="E4894" s="54"/>
      <c r="F4894"/>
      <c r="G4894"/>
    </row>
    <row r="4895" spans="1:7" x14ac:dyDescent="0.25">
      <c r="A4895" s="39"/>
      <c r="E4895" s="54"/>
      <c r="F4895"/>
      <c r="G4895"/>
    </row>
    <row r="4896" spans="1:7" x14ac:dyDescent="0.25">
      <c r="A4896" s="39"/>
      <c r="E4896" s="54"/>
      <c r="F4896"/>
      <c r="G4896"/>
    </row>
    <row r="4897" spans="1:7" x14ac:dyDescent="0.25">
      <c r="A4897" s="39"/>
      <c r="E4897" s="54"/>
      <c r="F4897"/>
      <c r="G4897"/>
    </row>
    <row r="4898" spans="1:7" x14ac:dyDescent="0.25">
      <c r="A4898" s="39"/>
      <c r="E4898" s="54"/>
      <c r="F4898"/>
      <c r="G4898"/>
    </row>
    <row r="4899" spans="1:7" x14ac:dyDescent="0.25">
      <c r="A4899" s="39"/>
      <c r="E4899" s="54"/>
      <c r="F4899"/>
      <c r="G4899"/>
    </row>
    <row r="4900" spans="1:7" x14ac:dyDescent="0.25">
      <c r="A4900" s="39"/>
      <c r="E4900" s="54"/>
      <c r="F4900"/>
      <c r="G4900"/>
    </row>
    <row r="4901" spans="1:7" x14ac:dyDescent="0.25">
      <c r="A4901" s="39"/>
      <c r="E4901" s="54"/>
      <c r="F4901"/>
      <c r="G4901"/>
    </row>
    <row r="4902" spans="1:7" x14ac:dyDescent="0.25">
      <c r="A4902" s="39"/>
      <c r="E4902" s="54"/>
      <c r="F4902"/>
      <c r="G4902"/>
    </row>
    <row r="4903" spans="1:7" x14ac:dyDescent="0.25">
      <c r="A4903" s="39"/>
      <c r="E4903" s="54"/>
      <c r="F4903"/>
      <c r="G4903"/>
    </row>
    <row r="4904" spans="1:7" x14ac:dyDescent="0.25">
      <c r="A4904" s="39"/>
      <c r="E4904" s="54"/>
      <c r="F4904"/>
      <c r="G4904"/>
    </row>
    <row r="4905" spans="1:7" x14ac:dyDescent="0.25">
      <c r="A4905" s="39"/>
      <c r="E4905" s="54"/>
      <c r="F4905"/>
      <c r="G4905"/>
    </row>
    <row r="4906" spans="1:7" x14ac:dyDescent="0.25">
      <c r="A4906" s="39"/>
      <c r="E4906" s="54"/>
      <c r="F4906"/>
      <c r="G4906"/>
    </row>
    <row r="4907" spans="1:7" x14ac:dyDescent="0.25">
      <c r="A4907" s="46"/>
      <c r="E4907" s="54"/>
      <c r="F4907"/>
      <c r="G4907"/>
    </row>
    <row r="4908" spans="1:7" x14ac:dyDescent="0.25">
      <c r="A4908" s="39"/>
      <c r="E4908" s="54"/>
      <c r="F4908"/>
      <c r="G4908"/>
    </row>
    <row r="4909" spans="1:7" x14ac:dyDescent="0.25">
      <c r="A4909" s="46"/>
      <c r="E4909" s="54"/>
      <c r="F4909"/>
      <c r="G4909"/>
    </row>
    <row r="4910" spans="1:7" x14ac:dyDescent="0.25">
      <c r="A4910" s="39"/>
      <c r="E4910" s="54"/>
      <c r="F4910"/>
      <c r="G4910"/>
    </row>
    <row r="4911" spans="1:7" x14ac:dyDescent="0.25">
      <c r="A4911" s="39"/>
      <c r="E4911" s="54"/>
      <c r="F4911"/>
      <c r="G4911"/>
    </row>
    <row r="4912" spans="1:7" x14ac:dyDescent="0.25">
      <c r="A4912" s="39"/>
      <c r="E4912" s="54"/>
      <c r="F4912"/>
      <c r="G4912"/>
    </row>
    <row r="4913" spans="1:7" x14ac:dyDescent="0.25">
      <c r="A4913" s="39"/>
      <c r="E4913" s="54"/>
      <c r="F4913"/>
      <c r="G4913"/>
    </row>
    <row r="4914" spans="1:7" x14ac:dyDescent="0.25">
      <c r="A4914" s="39"/>
      <c r="E4914" s="54"/>
      <c r="F4914"/>
      <c r="G4914"/>
    </row>
    <row r="4915" spans="1:7" x14ac:dyDescent="0.25">
      <c r="A4915" s="39"/>
      <c r="E4915" s="54"/>
      <c r="F4915"/>
      <c r="G4915"/>
    </row>
    <row r="4916" spans="1:7" x14ac:dyDescent="0.25">
      <c r="A4916" s="39"/>
      <c r="E4916" s="54"/>
      <c r="F4916"/>
      <c r="G4916"/>
    </row>
    <row r="4917" spans="1:7" x14ac:dyDescent="0.25">
      <c r="A4917" s="48"/>
      <c r="E4917" s="54"/>
      <c r="F4917"/>
      <c r="G4917"/>
    </row>
    <row r="4918" spans="1:7" x14ac:dyDescent="0.25">
      <c r="A4918" s="48"/>
      <c r="E4918" s="54"/>
      <c r="F4918"/>
      <c r="G4918"/>
    </row>
    <row r="4919" spans="1:7" x14ac:dyDescent="0.25">
      <c r="A4919" s="48"/>
      <c r="E4919" s="54"/>
      <c r="F4919"/>
      <c r="G4919"/>
    </row>
    <row r="4920" spans="1:7" x14ac:dyDescent="0.25">
      <c r="A4920" s="48"/>
      <c r="E4920" s="54"/>
      <c r="F4920"/>
      <c r="G4920"/>
    </row>
    <row r="4921" spans="1:7" x14ac:dyDescent="0.25">
      <c r="A4921" s="48"/>
      <c r="E4921" s="54"/>
      <c r="F4921"/>
      <c r="G4921"/>
    </row>
    <row r="4922" spans="1:7" x14ac:dyDescent="0.25">
      <c r="A4922" s="48"/>
      <c r="E4922" s="54"/>
      <c r="F4922"/>
      <c r="G4922"/>
    </row>
    <row r="4923" spans="1:7" x14ac:dyDescent="0.25">
      <c r="A4923" s="48"/>
      <c r="E4923" s="54"/>
      <c r="F4923"/>
      <c r="G4923"/>
    </row>
    <row r="4924" spans="1:7" x14ac:dyDescent="0.25">
      <c r="A4924" s="48"/>
      <c r="E4924" s="54"/>
      <c r="F4924"/>
      <c r="G4924"/>
    </row>
    <row r="4925" spans="1:7" x14ac:dyDescent="0.25">
      <c r="A4925" s="48"/>
      <c r="E4925" s="54"/>
      <c r="F4925"/>
      <c r="G4925"/>
    </row>
    <row r="4926" spans="1:7" x14ac:dyDescent="0.25">
      <c r="A4926" s="48"/>
      <c r="E4926" s="54"/>
      <c r="F4926"/>
      <c r="G4926"/>
    </row>
    <row r="4927" spans="1:7" x14ac:dyDescent="0.25">
      <c r="A4927" s="48"/>
      <c r="E4927" s="54"/>
      <c r="F4927"/>
      <c r="G4927"/>
    </row>
    <row r="4928" spans="1:7" x14ac:dyDescent="0.25">
      <c r="A4928" s="48"/>
      <c r="E4928" s="54"/>
      <c r="F4928"/>
      <c r="G4928"/>
    </row>
    <row r="4929" spans="1:7" x14ac:dyDescent="0.25">
      <c r="A4929" s="48"/>
      <c r="E4929" s="54"/>
      <c r="F4929"/>
      <c r="G4929"/>
    </row>
    <row r="4930" spans="1:7" x14ac:dyDescent="0.25">
      <c r="A4930" s="48"/>
      <c r="E4930" s="54"/>
      <c r="F4930"/>
      <c r="G4930"/>
    </row>
    <row r="4931" spans="1:7" x14ac:dyDescent="0.25">
      <c r="A4931" s="48"/>
      <c r="E4931" s="54"/>
      <c r="F4931"/>
      <c r="G4931"/>
    </row>
    <row r="4932" spans="1:7" x14ac:dyDescent="0.25">
      <c r="A4932" s="48"/>
      <c r="E4932" s="54"/>
      <c r="F4932"/>
      <c r="G4932"/>
    </row>
    <row r="4933" spans="1:7" x14ac:dyDescent="0.25">
      <c r="A4933" s="48"/>
      <c r="E4933" s="54"/>
      <c r="F4933"/>
      <c r="G4933"/>
    </row>
    <row r="4934" spans="1:7" x14ac:dyDescent="0.25">
      <c r="A4934" s="48"/>
      <c r="E4934" s="54"/>
      <c r="F4934"/>
      <c r="G4934"/>
    </row>
    <row r="4935" spans="1:7" x14ac:dyDescent="0.25">
      <c r="A4935" s="48"/>
      <c r="E4935" s="54"/>
      <c r="F4935"/>
      <c r="G4935"/>
    </row>
    <row r="4936" spans="1:7" x14ac:dyDescent="0.25">
      <c r="A4936" s="48"/>
      <c r="E4936" s="54"/>
      <c r="F4936"/>
      <c r="G4936"/>
    </row>
    <row r="4937" spans="1:7" x14ac:dyDescent="0.25">
      <c r="A4937" s="48"/>
      <c r="E4937" s="54"/>
      <c r="F4937"/>
      <c r="G4937"/>
    </row>
    <row r="4938" spans="1:7" x14ac:dyDescent="0.25">
      <c r="A4938" s="48"/>
      <c r="E4938" s="54"/>
      <c r="F4938"/>
      <c r="G4938"/>
    </row>
    <row r="4939" spans="1:7" x14ac:dyDescent="0.25">
      <c r="A4939" s="48"/>
      <c r="E4939" s="54"/>
      <c r="F4939"/>
      <c r="G4939"/>
    </row>
    <row r="4940" spans="1:7" x14ac:dyDescent="0.25">
      <c r="A4940" s="48"/>
      <c r="E4940" s="54"/>
      <c r="F4940"/>
      <c r="G4940"/>
    </row>
    <row r="4941" spans="1:7" x14ac:dyDescent="0.25">
      <c r="A4941" s="48"/>
      <c r="E4941" s="54"/>
      <c r="F4941"/>
      <c r="G4941"/>
    </row>
    <row r="4942" spans="1:7" x14ac:dyDescent="0.25">
      <c r="A4942" s="48"/>
      <c r="E4942" s="54"/>
      <c r="F4942"/>
      <c r="G4942"/>
    </row>
    <row r="4943" spans="1:7" x14ac:dyDescent="0.25">
      <c r="A4943" s="48"/>
      <c r="E4943" s="54"/>
      <c r="F4943"/>
      <c r="G4943"/>
    </row>
    <row r="4944" spans="1:7" x14ac:dyDescent="0.25">
      <c r="A4944" s="48"/>
      <c r="E4944" s="54"/>
      <c r="F4944"/>
      <c r="G4944"/>
    </row>
    <row r="4945" spans="1:7" x14ac:dyDescent="0.25">
      <c r="A4945" s="48"/>
      <c r="E4945" s="54"/>
      <c r="F4945"/>
      <c r="G4945"/>
    </row>
    <row r="4946" spans="1:7" x14ac:dyDescent="0.25">
      <c r="A4946" s="48"/>
      <c r="E4946" s="54"/>
      <c r="F4946"/>
      <c r="G4946"/>
    </row>
    <row r="4947" spans="1:7" x14ac:dyDescent="0.25">
      <c r="A4947" s="48"/>
      <c r="E4947" s="54"/>
      <c r="F4947"/>
      <c r="G4947"/>
    </row>
    <row r="4948" spans="1:7" x14ac:dyDescent="0.25">
      <c r="A4948" s="48"/>
      <c r="E4948" s="54"/>
      <c r="F4948"/>
      <c r="G4948"/>
    </row>
    <row r="4949" spans="1:7" x14ac:dyDescent="0.25">
      <c r="A4949" s="48"/>
      <c r="E4949" s="54"/>
      <c r="F4949"/>
      <c r="G4949"/>
    </row>
    <row r="4950" spans="1:7" x14ac:dyDescent="0.25">
      <c r="A4950" s="48"/>
      <c r="E4950" s="54"/>
      <c r="F4950"/>
      <c r="G4950"/>
    </row>
    <row r="4951" spans="1:7" x14ac:dyDescent="0.25">
      <c r="A4951" s="48"/>
      <c r="E4951" s="54"/>
      <c r="F4951"/>
      <c r="G4951"/>
    </row>
    <row r="4952" spans="1:7" x14ac:dyDescent="0.25">
      <c r="A4952" s="48"/>
      <c r="E4952" s="54"/>
      <c r="F4952"/>
      <c r="G4952"/>
    </row>
    <row r="4953" spans="1:7" x14ac:dyDescent="0.25">
      <c r="A4953" s="48"/>
      <c r="E4953" s="54"/>
      <c r="F4953"/>
      <c r="G4953"/>
    </row>
    <row r="4954" spans="1:7" x14ac:dyDescent="0.25">
      <c r="A4954" s="48"/>
      <c r="E4954" s="54"/>
      <c r="F4954"/>
      <c r="G4954"/>
    </row>
    <row r="4955" spans="1:7" x14ac:dyDescent="0.25">
      <c r="A4955" s="48"/>
      <c r="E4955" s="54"/>
      <c r="F4955"/>
      <c r="G4955"/>
    </row>
    <row r="4956" spans="1:7" x14ac:dyDescent="0.25">
      <c r="A4956" s="48"/>
      <c r="E4956" s="54"/>
      <c r="F4956"/>
      <c r="G4956"/>
    </row>
    <row r="4957" spans="1:7" x14ac:dyDescent="0.25">
      <c r="A4957" s="48"/>
      <c r="E4957" s="54"/>
      <c r="F4957"/>
      <c r="G4957"/>
    </row>
    <row r="4958" spans="1:7" x14ac:dyDescent="0.25">
      <c r="A4958" s="48"/>
      <c r="E4958" s="54"/>
      <c r="F4958"/>
      <c r="G4958"/>
    </row>
    <row r="4959" spans="1:7" x14ac:dyDescent="0.25">
      <c r="A4959" s="48"/>
      <c r="E4959" s="54"/>
      <c r="F4959"/>
      <c r="G4959"/>
    </row>
    <row r="4960" spans="1:7" x14ac:dyDescent="0.25">
      <c r="A4960" s="48"/>
      <c r="E4960" s="54"/>
      <c r="F4960"/>
      <c r="G4960"/>
    </row>
    <row r="4961" spans="1:7" x14ac:dyDescent="0.25">
      <c r="A4961" s="48"/>
      <c r="E4961" s="54"/>
      <c r="F4961"/>
      <c r="G4961"/>
    </row>
    <row r="4962" spans="1:7" x14ac:dyDescent="0.25">
      <c r="A4962" s="48"/>
      <c r="E4962" s="54"/>
      <c r="F4962"/>
      <c r="G4962"/>
    </row>
    <row r="4963" spans="1:7" x14ac:dyDescent="0.25">
      <c r="A4963" s="48"/>
      <c r="E4963" s="54"/>
      <c r="F4963"/>
      <c r="G4963"/>
    </row>
    <row r="4964" spans="1:7" x14ac:dyDescent="0.25">
      <c r="A4964" s="48"/>
      <c r="E4964" s="54"/>
      <c r="F4964"/>
      <c r="G4964"/>
    </row>
    <row r="4965" spans="1:7" x14ac:dyDescent="0.25">
      <c r="A4965" s="48"/>
      <c r="E4965" s="54"/>
      <c r="F4965"/>
      <c r="G4965"/>
    </row>
    <row r="4966" spans="1:7" x14ac:dyDescent="0.25">
      <c r="A4966" s="48"/>
      <c r="E4966" s="54"/>
      <c r="F4966"/>
      <c r="G4966"/>
    </row>
    <row r="4967" spans="1:7" x14ac:dyDescent="0.25">
      <c r="A4967" s="48"/>
      <c r="E4967" s="54"/>
      <c r="F4967"/>
      <c r="G4967"/>
    </row>
    <row r="4968" spans="1:7" x14ac:dyDescent="0.25">
      <c r="A4968" s="48"/>
      <c r="E4968" s="54"/>
      <c r="F4968"/>
      <c r="G4968"/>
    </row>
    <row r="4969" spans="1:7" x14ac:dyDescent="0.25">
      <c r="A4969" s="48"/>
      <c r="E4969" s="54"/>
      <c r="F4969"/>
      <c r="G4969"/>
    </row>
    <row r="4970" spans="1:7" x14ac:dyDescent="0.25">
      <c r="A4970" s="48"/>
      <c r="E4970" s="54"/>
      <c r="F4970"/>
      <c r="G4970"/>
    </row>
    <row r="4971" spans="1:7" x14ac:dyDescent="0.25">
      <c r="A4971" s="48"/>
      <c r="E4971" s="54"/>
      <c r="F4971"/>
      <c r="G4971"/>
    </row>
    <row r="4972" spans="1:7" x14ac:dyDescent="0.25">
      <c r="A4972" s="48"/>
      <c r="E4972" s="54"/>
      <c r="F4972"/>
      <c r="G4972"/>
    </row>
    <row r="4973" spans="1:7" x14ac:dyDescent="0.25">
      <c r="A4973" s="48"/>
      <c r="E4973" s="54"/>
      <c r="F4973"/>
      <c r="G4973"/>
    </row>
    <row r="4974" spans="1:7" x14ac:dyDescent="0.25">
      <c r="A4974" s="48"/>
      <c r="E4974" s="54"/>
      <c r="F4974"/>
      <c r="G4974"/>
    </row>
    <row r="4975" spans="1:7" x14ac:dyDescent="0.25">
      <c r="A4975" s="48"/>
      <c r="E4975" s="54"/>
      <c r="F4975"/>
      <c r="G4975"/>
    </row>
    <row r="4976" spans="1:7" x14ac:dyDescent="0.25">
      <c r="A4976" s="48"/>
      <c r="E4976" s="54"/>
      <c r="F4976"/>
      <c r="G4976"/>
    </row>
    <row r="4977" spans="1:7" x14ac:dyDescent="0.25">
      <c r="A4977" s="48"/>
      <c r="E4977" s="54"/>
      <c r="F4977"/>
      <c r="G4977"/>
    </row>
    <row r="4978" spans="1:7" x14ac:dyDescent="0.25">
      <c r="A4978" s="48"/>
      <c r="E4978" s="54"/>
      <c r="F4978"/>
      <c r="G4978"/>
    </row>
    <row r="4979" spans="1:7" x14ac:dyDescent="0.25">
      <c r="A4979" s="48"/>
      <c r="E4979" s="54"/>
      <c r="F4979"/>
      <c r="G4979"/>
    </row>
    <row r="4980" spans="1:7" x14ac:dyDescent="0.25">
      <c r="A4980" s="48"/>
      <c r="E4980" s="54"/>
      <c r="F4980"/>
      <c r="G4980"/>
    </row>
    <row r="4981" spans="1:7" x14ac:dyDescent="0.25">
      <c r="A4981" s="48"/>
      <c r="E4981" s="54"/>
      <c r="F4981"/>
      <c r="G4981"/>
    </row>
    <row r="4982" spans="1:7" x14ac:dyDescent="0.25">
      <c r="A4982" s="48"/>
      <c r="E4982" s="54"/>
      <c r="F4982"/>
      <c r="G4982"/>
    </row>
    <row r="4983" spans="1:7" x14ac:dyDescent="0.25">
      <c r="A4983" s="48"/>
      <c r="E4983" s="54"/>
      <c r="F4983"/>
      <c r="G4983"/>
    </row>
    <row r="4984" spans="1:7" x14ac:dyDescent="0.25">
      <c r="A4984" s="48"/>
      <c r="E4984" s="54"/>
      <c r="F4984"/>
      <c r="G4984"/>
    </row>
    <row r="4985" spans="1:7" x14ac:dyDescent="0.25">
      <c r="A4985" s="48"/>
      <c r="E4985" s="54"/>
      <c r="F4985"/>
      <c r="G4985"/>
    </row>
    <row r="4986" spans="1:7" x14ac:dyDescent="0.25">
      <c r="A4986" s="48"/>
      <c r="E4986" s="54"/>
      <c r="F4986"/>
      <c r="G4986"/>
    </row>
    <row r="4987" spans="1:7" x14ac:dyDescent="0.25">
      <c r="A4987" s="48"/>
      <c r="E4987" s="54"/>
      <c r="F4987"/>
      <c r="G4987"/>
    </row>
    <row r="4988" spans="1:7" x14ac:dyDescent="0.25">
      <c r="A4988" s="48"/>
      <c r="E4988" s="54"/>
      <c r="F4988"/>
      <c r="G4988"/>
    </row>
    <row r="4989" spans="1:7" x14ac:dyDescent="0.25">
      <c r="A4989" s="48"/>
      <c r="E4989" s="54"/>
      <c r="F4989"/>
      <c r="G4989"/>
    </row>
    <row r="4990" spans="1:7" x14ac:dyDescent="0.25">
      <c r="A4990" s="48"/>
      <c r="E4990" s="54"/>
      <c r="F4990"/>
      <c r="G4990"/>
    </row>
    <row r="4991" spans="1:7" x14ac:dyDescent="0.25">
      <c r="E4991" s="54"/>
    </row>
    <row r="4992" spans="1:7" x14ac:dyDescent="0.25">
      <c r="E4992" s="54"/>
    </row>
    <row r="4993" spans="1:7" x14ac:dyDescent="0.25">
      <c r="E4993" s="54"/>
    </row>
    <row r="4994" spans="1:7" x14ac:dyDescent="0.25">
      <c r="E4994" s="54"/>
    </row>
    <row r="4995" spans="1:7" x14ac:dyDescent="0.25">
      <c r="E4995" s="54"/>
    </row>
    <row r="4996" spans="1:7" x14ac:dyDescent="0.25">
      <c r="E4996" s="54"/>
    </row>
    <row r="4997" spans="1:7" x14ac:dyDescent="0.25">
      <c r="E4997" s="54"/>
    </row>
    <row r="4998" spans="1:7" x14ac:dyDescent="0.25">
      <c r="E4998" s="54"/>
    </row>
    <row r="4999" spans="1:7" x14ac:dyDescent="0.25">
      <c r="G4999"/>
    </row>
    <row r="5000" spans="1:7" x14ac:dyDescent="0.25">
      <c r="E5000" s="54"/>
    </row>
    <row r="5001" spans="1:7" x14ac:dyDescent="0.25">
      <c r="E5001" s="54"/>
    </row>
    <row r="5002" spans="1:7" x14ac:dyDescent="0.25">
      <c r="E5002" s="54"/>
    </row>
    <row r="5003" spans="1:7" x14ac:dyDescent="0.25">
      <c r="A5003" s="45"/>
      <c r="E5003" s="54"/>
      <c r="F5003"/>
      <c r="G5003"/>
    </row>
    <row r="5004" spans="1:7" x14ac:dyDescent="0.25">
      <c r="A5004" s="48"/>
      <c r="E5004" s="54"/>
      <c r="F5004"/>
      <c r="G5004"/>
    </row>
    <row r="5005" spans="1:7" x14ac:dyDescent="0.25">
      <c r="A5005" s="48"/>
      <c r="E5005" s="54"/>
      <c r="F5005"/>
      <c r="G5005"/>
    </row>
    <row r="5006" spans="1:7" x14ac:dyDescent="0.25">
      <c r="A5006" s="48"/>
      <c r="E5006" s="54"/>
      <c r="F5006"/>
      <c r="G5006"/>
    </row>
    <row r="5007" spans="1:7" x14ac:dyDescent="0.25">
      <c r="A5007" s="48"/>
      <c r="E5007" s="54"/>
      <c r="F5007"/>
      <c r="G5007"/>
    </row>
    <row r="5008" spans="1:7" x14ac:dyDescent="0.25">
      <c r="A5008" s="48"/>
      <c r="E5008" s="54"/>
      <c r="F5008"/>
      <c r="G5008"/>
    </row>
    <row r="5009" spans="1:7" x14ac:dyDescent="0.25">
      <c r="A5009" s="48"/>
      <c r="E5009" s="54"/>
      <c r="F5009"/>
      <c r="G5009"/>
    </row>
    <row r="5010" spans="1:7" x14ac:dyDescent="0.25">
      <c r="A5010" s="48"/>
      <c r="E5010" s="54"/>
      <c r="F5010"/>
      <c r="G5010"/>
    </row>
    <row r="5011" spans="1:7" x14ac:dyDescent="0.25">
      <c r="A5011" s="48"/>
      <c r="E5011" s="54"/>
      <c r="F5011"/>
      <c r="G5011"/>
    </row>
    <row r="5012" spans="1:7" x14ac:dyDescent="0.25">
      <c r="A5012" s="48"/>
      <c r="E5012" s="54"/>
      <c r="F5012"/>
      <c r="G5012"/>
    </row>
    <row r="5013" spans="1:7" x14ac:dyDescent="0.25">
      <c r="A5013" s="48"/>
      <c r="E5013" s="54"/>
      <c r="F5013"/>
      <c r="G5013"/>
    </row>
    <row r="5014" spans="1:7" x14ac:dyDescent="0.25">
      <c r="A5014" s="48"/>
      <c r="E5014" s="54"/>
      <c r="F5014"/>
      <c r="G5014"/>
    </row>
    <row r="5015" spans="1:7" x14ac:dyDescent="0.25">
      <c r="A5015" s="48"/>
      <c r="E5015" s="54"/>
      <c r="F5015"/>
      <c r="G5015"/>
    </row>
    <row r="5016" spans="1:7" x14ac:dyDescent="0.25">
      <c r="E5016" s="54"/>
      <c r="G5016"/>
    </row>
    <row r="5017" spans="1:7" x14ac:dyDescent="0.25">
      <c r="E5017" s="54"/>
      <c r="G5017"/>
    </row>
    <row r="5018" spans="1:7" x14ac:dyDescent="0.25">
      <c r="E5018" s="54"/>
      <c r="G5018"/>
    </row>
    <row r="5019" spans="1:7" x14ac:dyDescent="0.25">
      <c r="E5019" s="54"/>
      <c r="G5019"/>
    </row>
    <row r="5020" spans="1:7" x14ac:dyDescent="0.25">
      <c r="E5020" s="54"/>
      <c r="G5020"/>
    </row>
    <row r="5021" spans="1:7" x14ac:dyDescent="0.25">
      <c r="E5021" s="54"/>
      <c r="G5021"/>
    </row>
    <row r="5022" spans="1:7" x14ac:dyDescent="0.25">
      <c r="E5022" s="54"/>
      <c r="G5022"/>
    </row>
    <row r="5023" spans="1:7" x14ac:dyDescent="0.25">
      <c r="E5023" s="54"/>
      <c r="G5023"/>
    </row>
    <row r="5024" spans="1:7" x14ac:dyDescent="0.25">
      <c r="E5024" s="54"/>
      <c r="G5024"/>
    </row>
    <row r="5025" spans="1:7" x14ac:dyDescent="0.25">
      <c r="E5025" s="54"/>
      <c r="G5025"/>
    </row>
    <row r="5026" spans="1:7" x14ac:dyDescent="0.25">
      <c r="E5026" s="54"/>
      <c r="G5026"/>
    </row>
    <row r="5027" spans="1:7" x14ac:dyDescent="0.25">
      <c r="E5027" s="54"/>
      <c r="G5027"/>
    </row>
    <row r="5028" spans="1:7" x14ac:dyDescent="0.25">
      <c r="E5028" s="54"/>
      <c r="G5028"/>
    </row>
    <row r="5029" spans="1:7" x14ac:dyDescent="0.25">
      <c r="E5029" s="54"/>
      <c r="G5029"/>
    </row>
    <row r="5030" spans="1:7" x14ac:dyDescent="0.25">
      <c r="A5030" s="47"/>
      <c r="E5030" s="54"/>
      <c r="G5030"/>
    </row>
    <row r="5031" spans="1:7" x14ac:dyDescent="0.25">
      <c r="A5031" s="47"/>
      <c r="E5031" s="54"/>
      <c r="G5031"/>
    </row>
    <row r="5032" spans="1:7" x14ac:dyDescent="0.25">
      <c r="A5032" s="47"/>
      <c r="E5032" s="54"/>
      <c r="G5032"/>
    </row>
    <row r="5033" spans="1:7" x14ac:dyDescent="0.25">
      <c r="A5033" s="47"/>
      <c r="E5033" s="54"/>
      <c r="G5033"/>
    </row>
    <row r="5034" spans="1:7" x14ac:dyDescent="0.25">
      <c r="A5034" s="47"/>
      <c r="E5034" s="54"/>
      <c r="G5034"/>
    </row>
    <row r="5035" spans="1:7" x14ac:dyDescent="0.25">
      <c r="A5035" s="47"/>
      <c r="E5035" s="54"/>
      <c r="G5035"/>
    </row>
    <row r="5036" spans="1:7" x14ac:dyDescent="0.25">
      <c r="A5036" s="47"/>
      <c r="E5036" s="54"/>
      <c r="G5036"/>
    </row>
    <row r="5037" spans="1:7" x14ac:dyDescent="0.25">
      <c r="A5037" s="47"/>
      <c r="E5037" s="54"/>
      <c r="G5037"/>
    </row>
    <row r="5038" spans="1:7" x14ac:dyDescent="0.25">
      <c r="A5038" s="47"/>
      <c r="E5038" s="54"/>
      <c r="G5038"/>
    </row>
    <row r="5039" spans="1:7" x14ac:dyDescent="0.25">
      <c r="A5039" s="47"/>
      <c r="E5039" s="54"/>
      <c r="G5039"/>
    </row>
    <row r="5040" spans="1:7" x14ac:dyDescent="0.25">
      <c r="A5040" s="47"/>
      <c r="E5040" s="54"/>
      <c r="G5040"/>
    </row>
    <row r="5041" spans="1:7" x14ac:dyDescent="0.25">
      <c r="A5041" s="47"/>
      <c r="E5041" s="54"/>
      <c r="G5041"/>
    </row>
    <row r="5042" spans="1:7" x14ac:dyDescent="0.25">
      <c r="A5042" s="47"/>
      <c r="E5042" s="54"/>
      <c r="G5042"/>
    </row>
    <row r="5043" spans="1:7" x14ac:dyDescent="0.25">
      <c r="A5043" s="47"/>
      <c r="E5043" s="54"/>
      <c r="G5043"/>
    </row>
    <row r="5044" spans="1:7" x14ac:dyDescent="0.25">
      <c r="A5044" s="47"/>
      <c r="E5044" s="54"/>
      <c r="G5044"/>
    </row>
    <row r="5045" spans="1:7" x14ac:dyDescent="0.25">
      <c r="A5045" s="47"/>
      <c r="E5045" s="54"/>
      <c r="G5045"/>
    </row>
    <row r="5046" spans="1:7" x14ac:dyDescent="0.25">
      <c r="A5046" s="47"/>
      <c r="E5046" s="54"/>
      <c r="G5046"/>
    </row>
    <row r="5047" spans="1:7" x14ac:dyDescent="0.25">
      <c r="A5047" s="47"/>
      <c r="E5047" s="54"/>
      <c r="G5047"/>
    </row>
    <row r="5048" spans="1:7" x14ac:dyDescent="0.25">
      <c r="A5048" s="47"/>
      <c r="E5048" s="54"/>
      <c r="G5048"/>
    </row>
    <row r="5049" spans="1:7" x14ac:dyDescent="0.25">
      <c r="A5049" s="47"/>
      <c r="E5049" s="54"/>
      <c r="G5049"/>
    </row>
    <row r="5050" spans="1:7" x14ac:dyDescent="0.25">
      <c r="A5050" s="47"/>
      <c r="E5050" s="54"/>
      <c r="G5050"/>
    </row>
    <row r="5051" spans="1:7" x14ac:dyDescent="0.25">
      <c r="A5051" s="47"/>
      <c r="E5051" s="54"/>
      <c r="G5051"/>
    </row>
    <row r="5052" spans="1:7" x14ac:dyDescent="0.25">
      <c r="A5052" s="47"/>
      <c r="E5052" s="54"/>
      <c r="G5052"/>
    </row>
    <row r="5053" spans="1:7" x14ac:dyDescent="0.25">
      <c r="A5053" s="47"/>
      <c r="E5053" s="54"/>
      <c r="G5053"/>
    </row>
    <row r="5054" spans="1:7" x14ac:dyDescent="0.25">
      <c r="A5054" s="47"/>
      <c r="E5054" s="54"/>
      <c r="G5054"/>
    </row>
    <row r="5055" spans="1:7" x14ac:dyDescent="0.25">
      <c r="E5055" s="54"/>
      <c r="G5055"/>
    </row>
    <row r="5056" spans="1:7" x14ac:dyDescent="0.25">
      <c r="E5056" s="54"/>
      <c r="G5056"/>
    </row>
    <row r="5057" spans="1:7" x14ac:dyDescent="0.25">
      <c r="E5057" s="54"/>
      <c r="G5057"/>
    </row>
    <row r="5058" spans="1:7" x14ac:dyDescent="0.25">
      <c r="E5058" s="54"/>
      <c r="G5058"/>
    </row>
    <row r="5059" spans="1:7" x14ac:dyDescent="0.25">
      <c r="E5059" s="54"/>
      <c r="G5059"/>
    </row>
    <row r="5060" spans="1:7" x14ac:dyDescent="0.25">
      <c r="E5060" s="54"/>
      <c r="G5060"/>
    </row>
    <row r="5061" spans="1:7" x14ac:dyDescent="0.25">
      <c r="E5061" s="54"/>
      <c r="G5061"/>
    </row>
    <row r="5062" spans="1:7" x14ac:dyDescent="0.25">
      <c r="A5062" s="48"/>
      <c r="E5062" s="54"/>
      <c r="F5062"/>
      <c r="G5062"/>
    </row>
    <row r="5063" spans="1:7" x14ac:dyDescent="0.25">
      <c r="A5063" s="48"/>
      <c r="E5063" s="54"/>
      <c r="F5063"/>
      <c r="G5063"/>
    </row>
    <row r="5064" spans="1:7" x14ac:dyDescent="0.25">
      <c r="A5064" s="48"/>
      <c r="E5064" s="54"/>
      <c r="F5064"/>
      <c r="G5064"/>
    </row>
    <row r="5065" spans="1:7" x14ac:dyDescent="0.25">
      <c r="E5065" s="54"/>
    </row>
    <row r="5066" spans="1:7" x14ac:dyDescent="0.25">
      <c r="A5066" s="48"/>
      <c r="E5066" s="54"/>
      <c r="F5066"/>
      <c r="G5066"/>
    </row>
    <row r="5067" spans="1:7" x14ac:dyDescent="0.25">
      <c r="A5067" s="48"/>
      <c r="E5067" s="54"/>
      <c r="F5067"/>
      <c r="G5067"/>
    </row>
    <row r="5068" spans="1:7" x14ac:dyDescent="0.25">
      <c r="E5068" s="54"/>
    </row>
    <row r="5069" spans="1:7" x14ac:dyDescent="0.25">
      <c r="A5069" s="48"/>
      <c r="E5069" s="54"/>
      <c r="F5069"/>
      <c r="G5069"/>
    </row>
    <row r="5070" spans="1:7" x14ac:dyDescent="0.25">
      <c r="E5070" s="54"/>
    </row>
    <row r="5071" spans="1:7" x14ac:dyDescent="0.25">
      <c r="A5071" s="48"/>
      <c r="E5071" s="54"/>
      <c r="F5071"/>
      <c r="G5071"/>
    </row>
    <row r="5072" spans="1:7" x14ac:dyDescent="0.25">
      <c r="A5072" s="48"/>
      <c r="E5072" s="54"/>
      <c r="F5072"/>
      <c r="G5072"/>
    </row>
    <row r="5073" spans="1:7" x14ac:dyDescent="0.25">
      <c r="A5073" s="48"/>
      <c r="E5073" s="54"/>
      <c r="F5073"/>
      <c r="G5073"/>
    </row>
    <row r="5074" spans="1:7" x14ac:dyDescent="0.25">
      <c r="A5074" s="48"/>
      <c r="E5074" s="54"/>
      <c r="F5074"/>
      <c r="G5074"/>
    </row>
    <row r="5075" spans="1:7" x14ac:dyDescent="0.25">
      <c r="E5075" s="54"/>
    </row>
    <row r="5076" spans="1:7" x14ac:dyDescent="0.25">
      <c r="E5076" s="54"/>
    </row>
    <row r="5077" spans="1:7" x14ac:dyDescent="0.25">
      <c r="E5077" s="54"/>
    </row>
    <row r="5078" spans="1:7" x14ac:dyDescent="0.25">
      <c r="A5078" s="48"/>
      <c r="E5078" s="54"/>
      <c r="F5078"/>
      <c r="G5078"/>
    </row>
    <row r="5079" spans="1:7" x14ac:dyDescent="0.25">
      <c r="A5079" s="48"/>
      <c r="E5079" s="54"/>
      <c r="F5079"/>
      <c r="G5079"/>
    </row>
    <row r="5080" spans="1:7" x14ac:dyDescent="0.25">
      <c r="E5080" s="54"/>
    </row>
    <row r="5081" spans="1:7" x14ac:dyDescent="0.25">
      <c r="E5081" s="54"/>
    </row>
    <row r="5082" spans="1:7" x14ac:dyDescent="0.25">
      <c r="E5082" s="54"/>
    </row>
    <row r="5083" spans="1:7" x14ac:dyDescent="0.25">
      <c r="E5083" s="54"/>
    </row>
    <row r="5084" spans="1:7" x14ac:dyDescent="0.25">
      <c r="A5084" s="48"/>
      <c r="E5084" s="54"/>
      <c r="F5084"/>
      <c r="G5084"/>
    </row>
    <row r="5085" spans="1:7" x14ac:dyDescent="0.25">
      <c r="A5085" s="48"/>
      <c r="E5085" s="54"/>
      <c r="F5085"/>
      <c r="G5085"/>
    </row>
    <row r="5086" spans="1:7" x14ac:dyDescent="0.25">
      <c r="E5086" s="54"/>
    </row>
    <row r="5087" spans="1:7" x14ac:dyDescent="0.25">
      <c r="E5087" s="54"/>
    </row>
    <row r="5088" spans="1:7" x14ac:dyDescent="0.25">
      <c r="A5088" s="48"/>
      <c r="E5088" s="54"/>
      <c r="F5088"/>
      <c r="G5088"/>
    </row>
    <row r="5089" spans="1:7" x14ac:dyDescent="0.25">
      <c r="E5089" s="54"/>
    </row>
    <row r="5090" spans="1:7" x14ac:dyDescent="0.25">
      <c r="A5090" s="48"/>
      <c r="E5090" s="54"/>
      <c r="F5090"/>
      <c r="G5090"/>
    </row>
    <row r="5091" spans="1:7" x14ac:dyDescent="0.25">
      <c r="A5091" s="48"/>
      <c r="E5091" s="54"/>
      <c r="F5091"/>
      <c r="G5091"/>
    </row>
    <row r="5092" spans="1:7" x14ac:dyDescent="0.25">
      <c r="A5092" s="48"/>
      <c r="E5092" s="54"/>
      <c r="F5092"/>
      <c r="G5092"/>
    </row>
    <row r="5093" spans="1:7" x14ac:dyDescent="0.25">
      <c r="A5093" s="48"/>
      <c r="E5093" s="54"/>
      <c r="F5093"/>
      <c r="G5093"/>
    </row>
    <row r="5094" spans="1:7" x14ac:dyDescent="0.25">
      <c r="A5094" s="48"/>
      <c r="E5094" s="54"/>
      <c r="F5094"/>
      <c r="G5094"/>
    </row>
    <row r="5095" spans="1:7" x14ac:dyDescent="0.25">
      <c r="A5095" s="48"/>
      <c r="E5095" s="54"/>
      <c r="F5095"/>
      <c r="G5095"/>
    </row>
    <row r="5096" spans="1:7" x14ac:dyDescent="0.25">
      <c r="A5096" s="48"/>
      <c r="E5096" s="54"/>
      <c r="F5096"/>
      <c r="G5096"/>
    </row>
    <row r="5097" spans="1:7" x14ac:dyDescent="0.25">
      <c r="A5097" s="48"/>
      <c r="E5097" s="54"/>
      <c r="F5097"/>
      <c r="G5097"/>
    </row>
    <row r="5098" spans="1:7" x14ac:dyDescent="0.25">
      <c r="E5098" s="54"/>
    </row>
    <row r="5099" spans="1:7" x14ac:dyDescent="0.25">
      <c r="E5099" s="54"/>
    </row>
    <row r="5100" spans="1:7" x14ac:dyDescent="0.25">
      <c r="E5100" s="54"/>
    </row>
    <row r="5101" spans="1:7" x14ac:dyDescent="0.25">
      <c r="E5101" s="54"/>
    </row>
    <row r="5102" spans="1:7" x14ac:dyDescent="0.25">
      <c r="E5102" s="54"/>
    </row>
    <row r="5103" spans="1:7" x14ac:dyDescent="0.25">
      <c r="A5103" s="48"/>
      <c r="E5103" s="54"/>
      <c r="F5103"/>
      <c r="G5103"/>
    </row>
    <row r="5104" spans="1:7" x14ac:dyDescent="0.25">
      <c r="E5104" s="54"/>
    </row>
    <row r="5105" spans="1:7" x14ac:dyDescent="0.25">
      <c r="E5105" s="54"/>
    </row>
    <row r="5106" spans="1:7" x14ac:dyDescent="0.25">
      <c r="A5106" s="48"/>
      <c r="E5106" s="54"/>
      <c r="F5106"/>
      <c r="G5106"/>
    </row>
    <row r="5107" spans="1:7" x14ac:dyDescent="0.25">
      <c r="A5107" s="48"/>
      <c r="E5107" s="54"/>
      <c r="F5107"/>
      <c r="G5107"/>
    </row>
    <row r="5108" spans="1:7" x14ac:dyDescent="0.25">
      <c r="A5108" s="48"/>
      <c r="E5108" s="54"/>
      <c r="F5108"/>
      <c r="G5108"/>
    </row>
    <row r="5109" spans="1:7" x14ac:dyDescent="0.25">
      <c r="A5109" s="48"/>
      <c r="E5109" s="54"/>
      <c r="F5109"/>
      <c r="G5109"/>
    </row>
    <row r="5110" spans="1:7" x14ac:dyDescent="0.25">
      <c r="A5110" s="47"/>
      <c r="E5110" s="54"/>
      <c r="G5110"/>
    </row>
    <row r="5111" spans="1:7" x14ac:dyDescent="0.25">
      <c r="A5111" s="47"/>
      <c r="E5111" s="54"/>
      <c r="G5111"/>
    </row>
    <row r="5112" spans="1:7" x14ac:dyDescent="0.25">
      <c r="A5112" s="47"/>
      <c r="E5112" s="54"/>
      <c r="G5112"/>
    </row>
    <row r="5113" spans="1:7" x14ac:dyDescent="0.25">
      <c r="A5113" s="47"/>
      <c r="E5113" s="54"/>
      <c r="G5113"/>
    </row>
    <row r="5114" spans="1:7" x14ac:dyDescent="0.25">
      <c r="A5114" s="47"/>
      <c r="E5114" s="54"/>
      <c r="G5114"/>
    </row>
    <row r="5115" spans="1:7" x14ac:dyDescent="0.25">
      <c r="A5115" s="48"/>
      <c r="E5115" s="54"/>
      <c r="F5115"/>
      <c r="G5115"/>
    </row>
    <row r="5116" spans="1:7" x14ac:dyDescent="0.25">
      <c r="A5116" s="48"/>
      <c r="E5116" s="54"/>
      <c r="F5116"/>
      <c r="G5116"/>
    </row>
    <row r="5117" spans="1:7" x14ac:dyDescent="0.25">
      <c r="A5117" s="48"/>
      <c r="E5117" s="54"/>
      <c r="F5117"/>
      <c r="G5117"/>
    </row>
    <row r="5118" spans="1:7" x14ac:dyDescent="0.25">
      <c r="A5118" s="48"/>
      <c r="E5118" s="54"/>
      <c r="F5118"/>
      <c r="G5118"/>
    </row>
    <row r="5119" spans="1:7" x14ac:dyDescent="0.25">
      <c r="A5119" s="48"/>
      <c r="E5119" s="54"/>
      <c r="F5119"/>
      <c r="G5119"/>
    </row>
    <row r="5120" spans="1:7" x14ac:dyDescent="0.25">
      <c r="A5120" s="48"/>
      <c r="E5120" s="54"/>
      <c r="F5120"/>
      <c r="G5120"/>
    </row>
    <row r="5121" spans="1:7" x14ac:dyDescent="0.25">
      <c r="A5121" s="48"/>
      <c r="E5121" s="54"/>
      <c r="F5121"/>
      <c r="G5121"/>
    </row>
    <row r="5122" spans="1:7" x14ac:dyDescent="0.25">
      <c r="A5122" s="48"/>
      <c r="E5122" s="54"/>
      <c r="F5122"/>
      <c r="G5122"/>
    </row>
    <row r="5123" spans="1:7" x14ac:dyDescent="0.25">
      <c r="A5123" s="48"/>
      <c r="E5123" s="54"/>
      <c r="F5123"/>
      <c r="G5123"/>
    </row>
    <row r="5124" spans="1:7" x14ac:dyDescent="0.25">
      <c r="A5124" s="48"/>
      <c r="E5124" s="54"/>
      <c r="F5124"/>
      <c r="G5124"/>
    </row>
    <row r="5125" spans="1:7" x14ac:dyDescent="0.25">
      <c r="A5125" s="47"/>
      <c r="E5125" s="54"/>
      <c r="G5125"/>
    </row>
    <row r="5126" spans="1:7" x14ac:dyDescent="0.25">
      <c r="A5126" s="47"/>
      <c r="E5126" s="54"/>
      <c r="G5126"/>
    </row>
    <row r="5127" spans="1:7" x14ac:dyDescent="0.25">
      <c r="A5127" s="47"/>
      <c r="E5127" s="54"/>
      <c r="G5127"/>
    </row>
    <row r="5128" spans="1:7" x14ac:dyDescent="0.25">
      <c r="A5128" s="47"/>
      <c r="E5128" s="54"/>
      <c r="G5128"/>
    </row>
    <row r="5129" spans="1:7" x14ac:dyDescent="0.25">
      <c r="A5129" s="47"/>
      <c r="E5129" s="54"/>
      <c r="G5129"/>
    </row>
    <row r="5130" spans="1:7" x14ac:dyDescent="0.25">
      <c r="A5130" s="48"/>
      <c r="E5130" s="54"/>
      <c r="F5130"/>
      <c r="G5130"/>
    </row>
    <row r="5131" spans="1:7" x14ac:dyDescent="0.25">
      <c r="A5131" s="48"/>
      <c r="E5131" s="54"/>
      <c r="F5131"/>
      <c r="G5131"/>
    </row>
    <row r="5132" spans="1:7" x14ac:dyDescent="0.25">
      <c r="A5132" s="48"/>
      <c r="E5132" s="54"/>
      <c r="F5132"/>
      <c r="G5132"/>
    </row>
    <row r="5133" spans="1:7" x14ac:dyDescent="0.25">
      <c r="A5133" s="48"/>
      <c r="E5133" s="54"/>
      <c r="F5133"/>
      <c r="G5133"/>
    </row>
    <row r="5134" spans="1:7" x14ac:dyDescent="0.25">
      <c r="A5134" s="48"/>
      <c r="E5134" s="54"/>
      <c r="F5134"/>
      <c r="G5134"/>
    </row>
    <row r="5135" spans="1:7" x14ac:dyDescent="0.25">
      <c r="A5135" s="48"/>
      <c r="E5135" s="54"/>
      <c r="F5135"/>
      <c r="G5135"/>
    </row>
    <row r="5136" spans="1:7" x14ac:dyDescent="0.25">
      <c r="A5136" s="48"/>
      <c r="E5136" s="54"/>
      <c r="F5136"/>
      <c r="G5136"/>
    </row>
    <row r="5137" spans="1:7" x14ac:dyDescent="0.25">
      <c r="A5137" s="48"/>
      <c r="E5137" s="54"/>
      <c r="F5137"/>
      <c r="G5137"/>
    </row>
    <row r="5138" spans="1:7" x14ac:dyDescent="0.25">
      <c r="A5138" s="48"/>
      <c r="E5138" s="54"/>
      <c r="F5138"/>
      <c r="G5138"/>
    </row>
    <row r="5139" spans="1:7" x14ac:dyDescent="0.25">
      <c r="A5139" s="48"/>
      <c r="E5139" s="54"/>
      <c r="F5139"/>
      <c r="G5139"/>
    </row>
    <row r="5140" spans="1:7" x14ac:dyDescent="0.25">
      <c r="A5140" s="48"/>
      <c r="E5140" s="54"/>
      <c r="F5140"/>
      <c r="G5140"/>
    </row>
    <row r="5141" spans="1:7" x14ac:dyDescent="0.25">
      <c r="A5141" s="48"/>
      <c r="E5141" s="54"/>
      <c r="F5141"/>
      <c r="G5141"/>
    </row>
    <row r="5142" spans="1:7" x14ac:dyDescent="0.25">
      <c r="A5142" s="48"/>
      <c r="E5142" s="54"/>
      <c r="F5142"/>
      <c r="G5142"/>
    </row>
    <row r="5143" spans="1:7" x14ac:dyDescent="0.25">
      <c r="A5143" s="48"/>
      <c r="E5143" s="54"/>
      <c r="F5143"/>
      <c r="G5143"/>
    </row>
    <row r="5144" spans="1:7" x14ac:dyDescent="0.25">
      <c r="A5144" s="48"/>
      <c r="E5144" s="54"/>
      <c r="F5144"/>
      <c r="G5144"/>
    </row>
    <row r="5145" spans="1:7" x14ac:dyDescent="0.25">
      <c r="A5145" s="48"/>
      <c r="E5145" s="54"/>
      <c r="F5145"/>
      <c r="G5145"/>
    </row>
    <row r="5146" spans="1:7" x14ac:dyDescent="0.25">
      <c r="A5146" s="48"/>
      <c r="E5146" s="54"/>
      <c r="F5146"/>
      <c r="G5146"/>
    </row>
    <row r="5147" spans="1:7" x14ac:dyDescent="0.25">
      <c r="A5147" s="48"/>
      <c r="E5147" s="54"/>
      <c r="F5147"/>
      <c r="G5147"/>
    </row>
    <row r="5148" spans="1:7" x14ac:dyDescent="0.25">
      <c r="A5148" s="48"/>
      <c r="E5148" s="54"/>
      <c r="F5148"/>
      <c r="G5148"/>
    </row>
    <row r="5149" spans="1:7" x14ac:dyDescent="0.25">
      <c r="A5149" s="48"/>
      <c r="E5149" s="54"/>
      <c r="F5149"/>
      <c r="G5149"/>
    </row>
    <row r="5150" spans="1:7" x14ac:dyDescent="0.25">
      <c r="A5150" s="48"/>
      <c r="E5150" s="54"/>
      <c r="F5150"/>
      <c r="G5150"/>
    </row>
    <row r="5151" spans="1:7" x14ac:dyDescent="0.25">
      <c r="A5151" s="48"/>
      <c r="E5151" s="54"/>
      <c r="F5151"/>
      <c r="G5151"/>
    </row>
    <row r="5152" spans="1:7" x14ac:dyDescent="0.25">
      <c r="A5152" s="48"/>
      <c r="E5152" s="54"/>
      <c r="F5152"/>
      <c r="G5152"/>
    </row>
    <row r="5153" spans="1:7" x14ac:dyDescent="0.25">
      <c r="A5153" s="48"/>
      <c r="E5153" s="54"/>
      <c r="F5153"/>
      <c r="G5153"/>
    </row>
    <row r="5154" spans="1:7" x14ac:dyDescent="0.25">
      <c r="A5154" s="48"/>
      <c r="E5154" s="54"/>
      <c r="F5154"/>
      <c r="G5154"/>
    </row>
    <row r="5155" spans="1:7" x14ac:dyDescent="0.25">
      <c r="A5155" s="48"/>
      <c r="E5155" s="54"/>
      <c r="F5155"/>
      <c r="G5155"/>
    </row>
    <row r="5156" spans="1:7" x14ac:dyDescent="0.25">
      <c r="A5156" s="48"/>
      <c r="E5156" s="54"/>
      <c r="F5156"/>
      <c r="G5156"/>
    </row>
    <row r="5157" spans="1:7" x14ac:dyDescent="0.25">
      <c r="A5157" s="48"/>
      <c r="E5157" s="54"/>
      <c r="F5157"/>
      <c r="G5157"/>
    </row>
    <row r="5158" spans="1:7" x14ac:dyDescent="0.25">
      <c r="A5158" s="48"/>
      <c r="E5158" s="54"/>
      <c r="F5158"/>
      <c r="G5158"/>
    </row>
    <row r="5159" spans="1:7" x14ac:dyDescent="0.25">
      <c r="A5159" s="48"/>
      <c r="E5159" s="54"/>
      <c r="F5159"/>
      <c r="G5159"/>
    </row>
    <row r="5160" spans="1:7" x14ac:dyDescent="0.25">
      <c r="A5160" s="48"/>
      <c r="E5160" s="54"/>
      <c r="F5160"/>
      <c r="G5160"/>
    </row>
    <row r="5161" spans="1:7" x14ac:dyDescent="0.25">
      <c r="A5161" s="48"/>
      <c r="E5161" s="54"/>
      <c r="F5161"/>
      <c r="G5161"/>
    </row>
    <row r="5162" spans="1:7" x14ac:dyDescent="0.25">
      <c r="A5162" s="48"/>
      <c r="E5162" s="54"/>
      <c r="F5162"/>
      <c r="G5162"/>
    </row>
    <row r="5163" spans="1:7" x14ac:dyDescent="0.25">
      <c r="A5163" s="48"/>
      <c r="E5163" s="54"/>
      <c r="F5163"/>
      <c r="G5163"/>
    </row>
    <row r="5164" spans="1:7" x14ac:dyDescent="0.25">
      <c r="A5164" s="48"/>
      <c r="E5164" s="54"/>
      <c r="F5164"/>
      <c r="G5164"/>
    </row>
    <row r="5165" spans="1:7" x14ac:dyDescent="0.25">
      <c r="A5165" s="48"/>
      <c r="E5165" s="54"/>
      <c r="F5165"/>
      <c r="G5165"/>
    </row>
    <row r="5166" spans="1:7" x14ac:dyDescent="0.25">
      <c r="A5166" s="48"/>
      <c r="E5166" s="54"/>
      <c r="F5166"/>
      <c r="G5166"/>
    </row>
    <row r="5167" spans="1:7" x14ac:dyDescent="0.25">
      <c r="A5167" s="48"/>
      <c r="E5167" s="54"/>
      <c r="F5167"/>
      <c r="G5167"/>
    </row>
    <row r="5168" spans="1:7" x14ac:dyDescent="0.25">
      <c r="A5168" s="48"/>
      <c r="E5168" s="54"/>
      <c r="F5168"/>
      <c r="G5168"/>
    </row>
    <row r="5169" spans="1:7" x14ac:dyDescent="0.25">
      <c r="A5169" s="48"/>
      <c r="E5169" s="54"/>
      <c r="F5169"/>
      <c r="G5169"/>
    </row>
    <row r="5170" spans="1:7" x14ac:dyDescent="0.25">
      <c r="A5170" s="48"/>
      <c r="E5170" s="54"/>
      <c r="F5170"/>
      <c r="G5170"/>
    </row>
    <row r="5171" spans="1:7" x14ac:dyDescent="0.25">
      <c r="A5171" s="48"/>
      <c r="E5171" s="54"/>
      <c r="F5171"/>
      <c r="G5171"/>
    </row>
    <row r="5172" spans="1:7" x14ac:dyDescent="0.25">
      <c r="A5172" s="48"/>
      <c r="E5172" s="54"/>
      <c r="F5172"/>
      <c r="G5172"/>
    </row>
    <row r="5173" spans="1:7" x14ac:dyDescent="0.25">
      <c r="A5173" s="48"/>
      <c r="E5173" s="54"/>
      <c r="F5173"/>
      <c r="G5173"/>
    </row>
    <row r="5174" spans="1:7" x14ac:dyDescent="0.25">
      <c r="A5174" s="48"/>
      <c r="E5174" s="54"/>
      <c r="F5174"/>
      <c r="G5174"/>
    </row>
    <row r="5175" spans="1:7" x14ac:dyDescent="0.25">
      <c r="A5175" s="48"/>
      <c r="E5175" s="54"/>
      <c r="F5175"/>
      <c r="G5175"/>
    </row>
    <row r="5176" spans="1:7" x14ac:dyDescent="0.25">
      <c r="A5176" s="48"/>
      <c r="E5176" s="54"/>
      <c r="F5176"/>
      <c r="G5176"/>
    </row>
    <row r="5177" spans="1:7" x14ac:dyDescent="0.25">
      <c r="A5177" s="48"/>
      <c r="E5177" s="54"/>
      <c r="F5177"/>
      <c r="G5177"/>
    </row>
    <row r="5178" spans="1:7" x14ac:dyDescent="0.25">
      <c r="A5178" s="48"/>
      <c r="E5178" s="54"/>
      <c r="F5178"/>
      <c r="G5178"/>
    </row>
    <row r="5179" spans="1:7" x14ac:dyDescent="0.25">
      <c r="A5179" s="48"/>
      <c r="E5179" s="54"/>
      <c r="F5179"/>
      <c r="G5179"/>
    </row>
    <row r="5180" spans="1:7" x14ac:dyDescent="0.25">
      <c r="A5180" s="48"/>
      <c r="E5180" s="54"/>
      <c r="F5180"/>
      <c r="G5180"/>
    </row>
    <row r="5181" spans="1:7" x14ac:dyDescent="0.25">
      <c r="A5181" s="48"/>
      <c r="E5181" s="54"/>
      <c r="F5181"/>
      <c r="G5181"/>
    </row>
    <row r="5182" spans="1:7" x14ac:dyDescent="0.25">
      <c r="A5182" s="48"/>
      <c r="E5182" s="54"/>
      <c r="F5182"/>
      <c r="G5182"/>
    </row>
    <row r="5183" spans="1:7" x14ac:dyDescent="0.25">
      <c r="A5183" s="48"/>
      <c r="E5183" s="54"/>
      <c r="F5183"/>
      <c r="G5183"/>
    </row>
    <row r="5184" spans="1:7" x14ac:dyDescent="0.25">
      <c r="A5184" s="48"/>
      <c r="E5184" s="54"/>
      <c r="F5184"/>
      <c r="G5184"/>
    </row>
    <row r="5185" spans="1:7" x14ac:dyDescent="0.25">
      <c r="A5185" s="48"/>
      <c r="E5185" s="54"/>
      <c r="F5185"/>
      <c r="G5185"/>
    </row>
    <row r="5186" spans="1:7" x14ac:dyDescent="0.25">
      <c r="A5186" s="48"/>
      <c r="E5186" s="54"/>
      <c r="F5186"/>
      <c r="G5186"/>
    </row>
    <row r="5187" spans="1:7" x14ac:dyDescent="0.25">
      <c r="A5187" s="48"/>
      <c r="E5187" s="54"/>
      <c r="F5187"/>
      <c r="G5187"/>
    </row>
    <row r="5188" spans="1:7" x14ac:dyDescent="0.25">
      <c r="A5188" s="48"/>
      <c r="E5188" s="54"/>
      <c r="F5188"/>
      <c r="G5188"/>
    </row>
    <row r="5189" spans="1:7" x14ac:dyDescent="0.25">
      <c r="A5189" s="48"/>
      <c r="E5189" s="54"/>
      <c r="F5189"/>
      <c r="G5189"/>
    </row>
    <row r="5190" spans="1:7" x14ac:dyDescent="0.25">
      <c r="A5190" s="48"/>
      <c r="E5190" s="54"/>
      <c r="F5190"/>
      <c r="G5190"/>
    </row>
    <row r="5191" spans="1:7" x14ac:dyDescent="0.25">
      <c r="A5191" s="48"/>
      <c r="E5191" s="54"/>
      <c r="F5191"/>
      <c r="G5191"/>
    </row>
    <row r="5192" spans="1:7" x14ac:dyDescent="0.25">
      <c r="A5192" s="48"/>
      <c r="E5192" s="54"/>
      <c r="F5192"/>
      <c r="G5192"/>
    </row>
    <row r="5193" spans="1:7" x14ac:dyDescent="0.25">
      <c r="A5193" s="48"/>
      <c r="E5193" s="54"/>
      <c r="F5193"/>
      <c r="G5193"/>
    </row>
    <row r="5194" spans="1:7" x14ac:dyDescent="0.25">
      <c r="A5194" s="48"/>
      <c r="E5194" s="54"/>
      <c r="F5194"/>
      <c r="G5194"/>
    </row>
    <row r="5195" spans="1:7" x14ac:dyDescent="0.25">
      <c r="A5195" s="48"/>
      <c r="E5195" s="54"/>
      <c r="F5195"/>
      <c r="G5195"/>
    </row>
    <row r="5196" spans="1:7" x14ac:dyDescent="0.25">
      <c r="A5196" s="48"/>
      <c r="E5196" s="54"/>
      <c r="F5196"/>
      <c r="G5196"/>
    </row>
    <row r="5197" spans="1:7" x14ac:dyDescent="0.25">
      <c r="A5197" s="48"/>
      <c r="E5197" s="54"/>
      <c r="F5197"/>
      <c r="G5197"/>
    </row>
    <row r="5198" spans="1:7" x14ac:dyDescent="0.25">
      <c r="A5198" s="47"/>
      <c r="E5198" s="54"/>
      <c r="G5198"/>
    </row>
    <row r="5199" spans="1:7" x14ac:dyDescent="0.25">
      <c r="A5199" s="47"/>
      <c r="E5199" s="54"/>
      <c r="G5199"/>
    </row>
    <row r="5200" spans="1:7" x14ac:dyDescent="0.25">
      <c r="A5200" s="47"/>
      <c r="E5200" s="54"/>
      <c r="G5200"/>
    </row>
    <row r="5201" spans="1:7" x14ac:dyDescent="0.25">
      <c r="A5201" s="47"/>
      <c r="E5201" s="54"/>
      <c r="G5201"/>
    </row>
    <row r="5202" spans="1:7" x14ac:dyDescent="0.25">
      <c r="A5202" s="47"/>
      <c r="E5202" s="54"/>
      <c r="G5202"/>
    </row>
    <row r="5203" spans="1:7" x14ac:dyDescent="0.25">
      <c r="A5203" s="47"/>
      <c r="E5203" s="54"/>
      <c r="G5203"/>
    </row>
    <row r="5204" spans="1:7" x14ac:dyDescent="0.25">
      <c r="A5204" s="47"/>
      <c r="E5204" s="54"/>
      <c r="G5204"/>
    </row>
    <row r="5205" spans="1:7" x14ac:dyDescent="0.25">
      <c r="A5205" s="47"/>
      <c r="E5205" s="54"/>
      <c r="G5205"/>
    </row>
    <row r="5206" spans="1:7" x14ac:dyDescent="0.25">
      <c r="A5206" s="47"/>
      <c r="E5206" s="54"/>
      <c r="G5206"/>
    </row>
    <row r="5207" spans="1:7" x14ac:dyDescent="0.25">
      <c r="A5207" s="47"/>
      <c r="E5207" s="54"/>
      <c r="G5207"/>
    </row>
    <row r="5208" spans="1:7" x14ac:dyDescent="0.25">
      <c r="A5208" s="47"/>
      <c r="E5208" s="54"/>
      <c r="G5208"/>
    </row>
    <row r="5209" spans="1:7" x14ac:dyDescent="0.25">
      <c r="A5209" s="47"/>
      <c r="E5209" s="54"/>
      <c r="G5209"/>
    </row>
    <row r="5210" spans="1:7" x14ac:dyDescent="0.25">
      <c r="A5210" s="47"/>
      <c r="E5210" s="54"/>
      <c r="G5210"/>
    </row>
    <row r="5211" spans="1:7" x14ac:dyDescent="0.25">
      <c r="A5211" s="47"/>
      <c r="E5211" s="54"/>
      <c r="G5211"/>
    </row>
    <row r="5212" spans="1:7" x14ac:dyDescent="0.25">
      <c r="A5212" s="47"/>
      <c r="E5212" s="54"/>
      <c r="G5212"/>
    </row>
    <row r="5213" spans="1:7" x14ac:dyDescent="0.25">
      <c r="A5213" s="47"/>
      <c r="E5213" s="54"/>
      <c r="G5213"/>
    </row>
    <row r="5214" spans="1:7" x14ac:dyDescent="0.25">
      <c r="A5214" s="47"/>
      <c r="E5214" s="54"/>
      <c r="G5214"/>
    </row>
    <row r="5215" spans="1:7" x14ac:dyDescent="0.25">
      <c r="A5215" s="47"/>
      <c r="E5215" s="54"/>
      <c r="G5215"/>
    </row>
    <row r="5216" spans="1:7" x14ac:dyDescent="0.25">
      <c r="A5216" s="47"/>
      <c r="E5216" s="54"/>
      <c r="G5216"/>
    </row>
    <row r="5217" spans="1:7" x14ac:dyDescent="0.25">
      <c r="A5217" s="47"/>
      <c r="E5217" s="54"/>
      <c r="G5217"/>
    </row>
    <row r="5218" spans="1:7" x14ac:dyDescent="0.25">
      <c r="A5218" s="47"/>
      <c r="E5218" s="54"/>
      <c r="G5218"/>
    </row>
    <row r="5219" spans="1:7" x14ac:dyDescent="0.25">
      <c r="A5219" s="48"/>
      <c r="E5219" s="54"/>
      <c r="F5219"/>
      <c r="G5219"/>
    </row>
    <row r="5220" spans="1:7" x14ac:dyDescent="0.25">
      <c r="A5220" s="48"/>
      <c r="E5220" s="54"/>
      <c r="F5220"/>
      <c r="G5220"/>
    </row>
    <row r="5221" spans="1:7" x14ac:dyDescent="0.25">
      <c r="A5221" s="48"/>
      <c r="E5221" s="54"/>
      <c r="F5221"/>
      <c r="G5221"/>
    </row>
    <row r="5222" spans="1:7" x14ac:dyDescent="0.25">
      <c r="A5222" s="48"/>
      <c r="E5222" s="54"/>
      <c r="F5222"/>
      <c r="G5222"/>
    </row>
    <row r="5223" spans="1:7" x14ac:dyDescent="0.25">
      <c r="A5223" s="48"/>
      <c r="E5223" s="54"/>
      <c r="F5223"/>
      <c r="G5223"/>
    </row>
    <row r="5224" spans="1:7" x14ac:dyDescent="0.25">
      <c r="A5224" s="48"/>
      <c r="E5224" s="54"/>
      <c r="F5224"/>
      <c r="G5224"/>
    </row>
    <row r="5225" spans="1:7" x14ac:dyDescent="0.25">
      <c r="A5225" s="48"/>
      <c r="E5225" s="54"/>
      <c r="F5225"/>
      <c r="G5225"/>
    </row>
    <row r="5226" spans="1:7" x14ac:dyDescent="0.25">
      <c r="A5226" s="48"/>
      <c r="E5226" s="54"/>
      <c r="F5226"/>
      <c r="G5226"/>
    </row>
    <row r="5227" spans="1:7" x14ac:dyDescent="0.25">
      <c r="A5227" s="48"/>
      <c r="E5227" s="54"/>
      <c r="F5227"/>
      <c r="G5227"/>
    </row>
    <row r="5228" spans="1:7" x14ac:dyDescent="0.25">
      <c r="A5228" s="48"/>
      <c r="E5228" s="54"/>
      <c r="F5228"/>
      <c r="G5228"/>
    </row>
    <row r="5229" spans="1:7" x14ac:dyDescent="0.25">
      <c r="A5229" s="48"/>
      <c r="E5229" s="54"/>
      <c r="F5229"/>
      <c r="G5229"/>
    </row>
    <row r="5230" spans="1:7" x14ac:dyDescent="0.25">
      <c r="A5230" s="48"/>
      <c r="E5230" s="54"/>
      <c r="F5230"/>
      <c r="G5230"/>
    </row>
    <row r="5231" spans="1:7" x14ac:dyDescent="0.25">
      <c r="A5231" s="48"/>
      <c r="E5231" s="54"/>
      <c r="F5231"/>
      <c r="G5231"/>
    </row>
    <row r="5232" spans="1:7" x14ac:dyDescent="0.25">
      <c r="A5232" s="48"/>
      <c r="E5232" s="54"/>
      <c r="F5232"/>
      <c r="G5232"/>
    </row>
    <row r="5233" spans="1:7" x14ac:dyDescent="0.25">
      <c r="A5233" s="48"/>
      <c r="E5233" s="54"/>
      <c r="F5233"/>
      <c r="G5233"/>
    </row>
    <row r="5234" spans="1:7" x14ac:dyDescent="0.25">
      <c r="A5234" s="48"/>
      <c r="E5234" s="54"/>
      <c r="F5234"/>
      <c r="G5234"/>
    </row>
    <row r="5235" spans="1:7" x14ac:dyDescent="0.25">
      <c r="A5235" s="48"/>
      <c r="E5235" s="54"/>
      <c r="F5235"/>
      <c r="G5235"/>
    </row>
    <row r="5236" spans="1:7" x14ac:dyDescent="0.25">
      <c r="A5236" s="48"/>
      <c r="E5236" s="54"/>
      <c r="F5236"/>
      <c r="G5236"/>
    </row>
    <row r="5237" spans="1:7" x14ac:dyDescent="0.25">
      <c r="A5237" s="48"/>
      <c r="E5237" s="54"/>
      <c r="F5237"/>
      <c r="G5237"/>
    </row>
    <row r="5238" spans="1:7" x14ac:dyDescent="0.25">
      <c r="A5238" s="48"/>
      <c r="E5238" s="54"/>
      <c r="F5238"/>
      <c r="G5238"/>
    </row>
    <row r="5239" spans="1:7" x14ac:dyDescent="0.25">
      <c r="A5239" s="48"/>
      <c r="E5239" s="54"/>
      <c r="F5239"/>
      <c r="G5239"/>
    </row>
    <row r="5240" spans="1:7" x14ac:dyDescent="0.25">
      <c r="A5240" s="48"/>
      <c r="E5240" s="54"/>
      <c r="F5240"/>
      <c r="G5240"/>
    </row>
    <row r="5241" spans="1:7" x14ac:dyDescent="0.25">
      <c r="A5241" s="48"/>
      <c r="E5241" s="54"/>
      <c r="F5241"/>
      <c r="G5241"/>
    </row>
    <row r="5242" spans="1:7" x14ac:dyDescent="0.25">
      <c r="A5242" s="48"/>
      <c r="E5242" s="54"/>
      <c r="F5242"/>
      <c r="G5242"/>
    </row>
    <row r="5243" spans="1:7" x14ac:dyDescent="0.25">
      <c r="A5243" s="39"/>
      <c r="E5243" s="54"/>
      <c r="F5243" s="2"/>
      <c r="G5243"/>
    </row>
    <row r="5244" spans="1:7" x14ac:dyDescent="0.25">
      <c r="A5244" s="39"/>
      <c r="E5244" s="54"/>
      <c r="F5244" s="2"/>
      <c r="G5244"/>
    </row>
    <row r="5245" spans="1:7" x14ac:dyDescent="0.25">
      <c r="A5245" s="48"/>
      <c r="E5245" s="54"/>
      <c r="F5245"/>
      <c r="G5245"/>
    </row>
    <row r="5246" spans="1:7" x14ac:dyDescent="0.25">
      <c r="A5246" s="39"/>
      <c r="E5246" s="54"/>
      <c r="F5246" s="2"/>
      <c r="G5246"/>
    </row>
    <row r="5247" spans="1:7" x14ac:dyDescent="0.25">
      <c r="A5247" s="48"/>
      <c r="E5247" s="54"/>
      <c r="F5247"/>
      <c r="G5247"/>
    </row>
    <row r="5248" spans="1:7" x14ac:dyDescent="0.25">
      <c r="A5248" s="48"/>
      <c r="E5248" s="54"/>
      <c r="F5248"/>
      <c r="G5248"/>
    </row>
    <row r="5249" spans="1:7" x14ac:dyDescent="0.25">
      <c r="A5249" s="48"/>
      <c r="E5249" s="54"/>
      <c r="F5249"/>
      <c r="G5249"/>
    </row>
    <row r="5250" spans="1:7" x14ac:dyDescent="0.25">
      <c r="A5250" s="39"/>
      <c r="E5250" s="54"/>
      <c r="F5250" s="2"/>
      <c r="G5250"/>
    </row>
    <row r="5251" spans="1:7" x14ac:dyDescent="0.25">
      <c r="A5251" s="39"/>
      <c r="E5251" s="54"/>
      <c r="F5251" s="2"/>
      <c r="G5251"/>
    </row>
    <row r="5252" spans="1:7" x14ac:dyDescent="0.25">
      <c r="A5252" s="39"/>
      <c r="E5252" s="54"/>
      <c r="F5252" s="2"/>
      <c r="G5252"/>
    </row>
    <row r="5253" spans="1:7" x14ac:dyDescent="0.25">
      <c r="A5253" s="39"/>
      <c r="E5253" s="54"/>
      <c r="F5253" s="2"/>
      <c r="G5253"/>
    </row>
    <row r="5254" spans="1:7" x14ac:dyDescent="0.25">
      <c r="A5254" s="39"/>
      <c r="E5254" s="54"/>
      <c r="F5254" s="2"/>
      <c r="G5254"/>
    </row>
    <row r="5255" spans="1:7" x14ac:dyDescent="0.25">
      <c r="A5255" s="39"/>
      <c r="E5255" s="54"/>
      <c r="F5255" s="2"/>
      <c r="G5255"/>
    </row>
    <row r="5256" spans="1:7" x14ac:dyDescent="0.25">
      <c r="A5256" s="39"/>
      <c r="E5256" s="54"/>
      <c r="F5256" s="2"/>
      <c r="G5256"/>
    </row>
    <row r="5257" spans="1:7" x14ac:dyDescent="0.25">
      <c r="A5257" s="39"/>
      <c r="E5257" s="54"/>
      <c r="F5257" s="2"/>
      <c r="G5257"/>
    </row>
    <row r="5258" spans="1:7" x14ac:dyDescent="0.25">
      <c r="A5258" s="39"/>
      <c r="E5258" s="54"/>
      <c r="F5258" s="2"/>
      <c r="G5258"/>
    </row>
    <row r="5259" spans="1:7" x14ac:dyDescent="0.25">
      <c r="A5259" s="39"/>
      <c r="E5259" s="54"/>
      <c r="F5259" s="2"/>
      <c r="G5259"/>
    </row>
    <row r="5260" spans="1:7" x14ac:dyDescent="0.25">
      <c r="A5260" s="39"/>
      <c r="E5260" s="54"/>
      <c r="F5260" s="2"/>
      <c r="G5260"/>
    </row>
    <row r="5261" spans="1:7" x14ac:dyDescent="0.25">
      <c r="A5261" s="39"/>
      <c r="E5261" s="54"/>
      <c r="F5261" s="2"/>
      <c r="G5261"/>
    </row>
    <row r="5262" spans="1:7" x14ac:dyDescent="0.25">
      <c r="A5262" s="48"/>
      <c r="E5262" s="54"/>
      <c r="F5262"/>
      <c r="G5262"/>
    </row>
    <row r="5263" spans="1:7" x14ac:dyDescent="0.25">
      <c r="A5263" s="48"/>
      <c r="E5263" s="54"/>
      <c r="F5263"/>
      <c r="G5263"/>
    </row>
    <row r="5264" spans="1:7" x14ac:dyDescent="0.25">
      <c r="A5264" s="48"/>
      <c r="E5264" s="54"/>
      <c r="F5264"/>
      <c r="G5264"/>
    </row>
    <row r="5265" spans="1:7" x14ac:dyDescent="0.25">
      <c r="A5265" s="48"/>
      <c r="E5265" s="54"/>
      <c r="F5265"/>
      <c r="G5265"/>
    </row>
    <row r="5266" spans="1:7" x14ac:dyDescent="0.25">
      <c r="A5266" s="48"/>
      <c r="E5266" s="54"/>
      <c r="F5266"/>
      <c r="G5266"/>
    </row>
    <row r="5267" spans="1:7" x14ac:dyDescent="0.25">
      <c r="A5267" s="48"/>
      <c r="E5267" s="54"/>
      <c r="F5267"/>
      <c r="G5267"/>
    </row>
    <row r="5268" spans="1:7" x14ac:dyDescent="0.25">
      <c r="A5268" s="48"/>
      <c r="E5268" s="54"/>
      <c r="F5268"/>
      <c r="G5268"/>
    </row>
    <row r="5269" spans="1:7" x14ac:dyDescent="0.25">
      <c r="A5269" s="48"/>
      <c r="E5269" s="54"/>
      <c r="F5269"/>
      <c r="G5269"/>
    </row>
    <row r="5270" spans="1:7" x14ac:dyDescent="0.25">
      <c r="A5270" s="48"/>
      <c r="E5270" s="54"/>
      <c r="F5270"/>
      <c r="G5270"/>
    </row>
    <row r="5271" spans="1:7" x14ac:dyDescent="0.25">
      <c r="A5271" s="48"/>
      <c r="E5271" s="54"/>
      <c r="F5271"/>
      <c r="G5271"/>
    </row>
    <row r="5272" spans="1:7" x14ac:dyDescent="0.25">
      <c r="A5272" s="48"/>
      <c r="E5272" s="54"/>
      <c r="F5272"/>
      <c r="G5272"/>
    </row>
    <row r="5273" spans="1:7" x14ac:dyDescent="0.25">
      <c r="A5273" s="48"/>
      <c r="E5273" s="54"/>
      <c r="F5273"/>
      <c r="G5273"/>
    </row>
    <row r="5274" spans="1:7" x14ac:dyDescent="0.25">
      <c r="A5274" s="48"/>
      <c r="E5274" s="54"/>
      <c r="F5274"/>
      <c r="G5274"/>
    </row>
    <row r="5275" spans="1:7" x14ac:dyDescent="0.25">
      <c r="A5275" s="48"/>
      <c r="E5275" s="54"/>
      <c r="F5275"/>
      <c r="G5275"/>
    </row>
    <row r="5276" spans="1:7" x14ac:dyDescent="0.25">
      <c r="A5276" s="48"/>
      <c r="E5276" s="54"/>
      <c r="F5276"/>
      <c r="G5276"/>
    </row>
    <row r="5277" spans="1:7" x14ac:dyDescent="0.25">
      <c r="A5277" s="48"/>
      <c r="E5277" s="54"/>
      <c r="F5277"/>
      <c r="G5277"/>
    </row>
    <row r="5278" spans="1:7" x14ac:dyDescent="0.25">
      <c r="A5278" s="48"/>
      <c r="E5278" s="54"/>
      <c r="F5278"/>
      <c r="G5278"/>
    </row>
    <row r="5279" spans="1:7" x14ac:dyDescent="0.25">
      <c r="A5279" s="48"/>
      <c r="E5279" s="54"/>
      <c r="F5279"/>
      <c r="G5279"/>
    </row>
    <row r="5280" spans="1:7" x14ac:dyDescent="0.25">
      <c r="A5280" s="48"/>
      <c r="E5280" s="54"/>
      <c r="F5280"/>
      <c r="G5280"/>
    </row>
    <row r="5281" spans="1:7" x14ac:dyDescent="0.25">
      <c r="A5281" s="48"/>
      <c r="E5281" s="54"/>
      <c r="F5281"/>
      <c r="G5281"/>
    </row>
    <row r="5282" spans="1:7" x14ac:dyDescent="0.25">
      <c r="A5282" s="48"/>
      <c r="E5282" s="54"/>
      <c r="F5282"/>
      <c r="G5282"/>
    </row>
    <row r="5283" spans="1:7" x14ac:dyDescent="0.25">
      <c r="A5283" s="48"/>
      <c r="E5283" s="54"/>
      <c r="F5283"/>
      <c r="G5283"/>
    </row>
    <row r="5284" spans="1:7" x14ac:dyDescent="0.25">
      <c r="A5284" s="48"/>
      <c r="E5284" s="54"/>
      <c r="F5284"/>
      <c r="G5284"/>
    </row>
    <row r="5285" spans="1:7" x14ac:dyDescent="0.25">
      <c r="A5285" s="48"/>
      <c r="E5285" s="54"/>
      <c r="F5285"/>
      <c r="G5285"/>
    </row>
    <row r="5286" spans="1:7" x14ac:dyDescent="0.25">
      <c r="A5286" s="48"/>
      <c r="E5286" s="54"/>
      <c r="F5286"/>
      <c r="G5286"/>
    </row>
    <row r="5287" spans="1:7" x14ac:dyDescent="0.25">
      <c r="A5287" s="48"/>
      <c r="E5287" s="54"/>
      <c r="F5287"/>
      <c r="G5287"/>
    </row>
    <row r="5288" spans="1:7" x14ac:dyDescent="0.25">
      <c r="A5288" s="48"/>
      <c r="E5288" s="54"/>
      <c r="F5288"/>
      <c r="G5288"/>
    </row>
    <row r="5289" spans="1:7" x14ac:dyDescent="0.25">
      <c r="A5289" s="48"/>
      <c r="E5289" s="54"/>
      <c r="F5289"/>
      <c r="G5289"/>
    </row>
    <row r="5290" spans="1:7" x14ac:dyDescent="0.25">
      <c r="A5290" s="48"/>
      <c r="E5290" s="54"/>
      <c r="F5290"/>
      <c r="G5290"/>
    </row>
    <row r="5291" spans="1:7" x14ac:dyDescent="0.25">
      <c r="A5291" s="48"/>
      <c r="E5291" s="54"/>
      <c r="F5291"/>
      <c r="G5291"/>
    </row>
    <row r="5292" spans="1:7" x14ac:dyDescent="0.25">
      <c r="A5292" s="48"/>
      <c r="E5292" s="54"/>
      <c r="F5292"/>
      <c r="G5292"/>
    </row>
    <row r="5293" spans="1:7" x14ac:dyDescent="0.25">
      <c r="A5293" s="48"/>
      <c r="E5293" s="54"/>
      <c r="F5293"/>
      <c r="G5293"/>
    </row>
    <row r="5294" spans="1:7" x14ac:dyDescent="0.25">
      <c r="A5294" s="48"/>
      <c r="E5294" s="54"/>
      <c r="F5294"/>
      <c r="G5294"/>
    </row>
    <row r="5295" spans="1:7" x14ac:dyDescent="0.25">
      <c r="A5295" s="48"/>
      <c r="E5295" s="54"/>
      <c r="F5295"/>
      <c r="G5295"/>
    </row>
    <row r="5296" spans="1:7" x14ac:dyDescent="0.25">
      <c r="A5296" s="48"/>
      <c r="E5296" s="54"/>
      <c r="F5296"/>
      <c r="G5296"/>
    </row>
    <row r="5297" spans="1:7" x14ac:dyDescent="0.25">
      <c r="A5297" s="48"/>
      <c r="E5297" s="54"/>
      <c r="F5297"/>
      <c r="G5297"/>
    </row>
    <row r="5298" spans="1:7" x14ac:dyDescent="0.25">
      <c r="A5298" s="48"/>
      <c r="E5298" s="54"/>
      <c r="F5298"/>
      <c r="G5298"/>
    </row>
    <row r="5299" spans="1:7" x14ac:dyDescent="0.25">
      <c r="A5299" s="48"/>
      <c r="E5299" s="54"/>
      <c r="F5299"/>
      <c r="G5299"/>
    </row>
    <row r="5300" spans="1:7" x14ac:dyDescent="0.25">
      <c r="A5300" s="45"/>
      <c r="E5300" s="54"/>
      <c r="F5300"/>
      <c r="G5300"/>
    </row>
    <row r="5301" spans="1:7" x14ac:dyDescent="0.25">
      <c r="A5301" s="45"/>
      <c r="E5301" s="54"/>
      <c r="F5301"/>
      <c r="G5301"/>
    </row>
    <row r="5302" spans="1:7" x14ac:dyDescent="0.25">
      <c r="A5302" s="45"/>
      <c r="E5302" s="54"/>
      <c r="F5302"/>
      <c r="G5302"/>
    </row>
    <row r="5303" spans="1:7" x14ac:dyDescent="0.25">
      <c r="A5303" s="45"/>
      <c r="E5303" s="54"/>
      <c r="F5303"/>
      <c r="G5303"/>
    </row>
    <row r="5304" spans="1:7" x14ac:dyDescent="0.25">
      <c r="A5304" s="45"/>
      <c r="E5304" s="54"/>
      <c r="F5304"/>
      <c r="G5304"/>
    </row>
    <row r="5305" spans="1:7" x14ac:dyDescent="0.25">
      <c r="A5305" s="45"/>
      <c r="E5305" s="54"/>
      <c r="F5305"/>
      <c r="G5305"/>
    </row>
    <row r="5306" spans="1:7" x14ac:dyDescent="0.25">
      <c r="A5306" s="45"/>
      <c r="E5306" s="54"/>
      <c r="F5306"/>
      <c r="G5306"/>
    </row>
    <row r="5307" spans="1:7" x14ac:dyDescent="0.25">
      <c r="A5307" s="45"/>
      <c r="E5307" s="54"/>
      <c r="F5307"/>
      <c r="G5307"/>
    </row>
    <row r="5308" spans="1:7" x14ac:dyDescent="0.25">
      <c r="A5308" s="45"/>
      <c r="E5308" s="54"/>
      <c r="F5308"/>
      <c r="G5308"/>
    </row>
    <row r="5309" spans="1:7" x14ac:dyDescent="0.25">
      <c r="A5309" s="45"/>
      <c r="E5309" s="54"/>
      <c r="F5309"/>
      <c r="G5309"/>
    </row>
    <row r="5310" spans="1:7" x14ac:dyDescent="0.25">
      <c r="A5310" s="45"/>
      <c r="E5310" s="54"/>
      <c r="F5310"/>
      <c r="G5310"/>
    </row>
    <row r="5311" spans="1:7" x14ac:dyDescent="0.25">
      <c r="A5311" s="45"/>
      <c r="E5311" s="54"/>
      <c r="F5311"/>
      <c r="G5311"/>
    </row>
    <row r="5312" spans="1:7" x14ac:dyDescent="0.25">
      <c r="A5312" s="45"/>
      <c r="E5312" s="54"/>
      <c r="F5312"/>
      <c r="G5312"/>
    </row>
    <row r="5313" spans="1:7" x14ac:dyDescent="0.25">
      <c r="A5313" s="45"/>
      <c r="E5313" s="54"/>
      <c r="F5313"/>
      <c r="G5313"/>
    </row>
    <row r="5314" spans="1:7" x14ac:dyDescent="0.25">
      <c r="A5314" s="45"/>
      <c r="E5314" s="54"/>
      <c r="F5314"/>
      <c r="G5314"/>
    </row>
    <row r="5315" spans="1:7" x14ac:dyDescent="0.25">
      <c r="A5315" s="45"/>
      <c r="E5315" s="54"/>
      <c r="F5315"/>
      <c r="G5315"/>
    </row>
    <row r="5316" spans="1:7" x14ac:dyDescent="0.25">
      <c r="A5316" s="45"/>
      <c r="E5316" s="54"/>
      <c r="F5316"/>
      <c r="G5316"/>
    </row>
    <row r="5317" spans="1:7" x14ac:dyDescent="0.25">
      <c r="A5317" s="45"/>
      <c r="E5317" s="54"/>
      <c r="F5317"/>
      <c r="G5317"/>
    </row>
    <row r="5318" spans="1:7" x14ac:dyDescent="0.25">
      <c r="A5318" s="45"/>
      <c r="E5318" s="54"/>
      <c r="F5318"/>
      <c r="G5318"/>
    </row>
    <row r="5319" spans="1:7" x14ac:dyDescent="0.25">
      <c r="A5319" s="45"/>
      <c r="E5319" s="54"/>
      <c r="F5319"/>
      <c r="G5319"/>
    </row>
    <row r="5320" spans="1:7" x14ac:dyDescent="0.25">
      <c r="A5320" s="45"/>
      <c r="E5320" s="54"/>
      <c r="F5320"/>
      <c r="G5320"/>
    </row>
    <row r="5321" spans="1:7" x14ac:dyDescent="0.25">
      <c r="A5321" s="45"/>
      <c r="E5321" s="54"/>
      <c r="F5321"/>
      <c r="G5321"/>
    </row>
    <row r="5322" spans="1:7" x14ac:dyDescent="0.25">
      <c r="A5322" s="45"/>
      <c r="E5322" s="54"/>
      <c r="F5322"/>
      <c r="G5322"/>
    </row>
    <row r="5323" spans="1:7" x14ac:dyDescent="0.25">
      <c r="A5323" s="45"/>
      <c r="E5323" s="54"/>
      <c r="F5323"/>
      <c r="G5323"/>
    </row>
    <row r="5324" spans="1:7" x14ac:dyDescent="0.25">
      <c r="A5324" s="45"/>
      <c r="E5324" s="54"/>
      <c r="F5324"/>
      <c r="G5324"/>
    </row>
    <row r="5325" spans="1:7" x14ac:dyDescent="0.25">
      <c r="A5325" s="45"/>
      <c r="E5325" s="54"/>
      <c r="F5325"/>
      <c r="G5325"/>
    </row>
    <row r="5326" spans="1:7" x14ac:dyDescent="0.25">
      <c r="A5326" s="45"/>
      <c r="E5326" s="54"/>
      <c r="F5326"/>
      <c r="G5326"/>
    </row>
    <row r="5327" spans="1:7" x14ac:dyDescent="0.25">
      <c r="A5327" s="45"/>
      <c r="E5327" s="54"/>
      <c r="F5327"/>
      <c r="G5327"/>
    </row>
    <row r="5328" spans="1:7" x14ac:dyDescent="0.25">
      <c r="A5328" s="45"/>
      <c r="E5328" s="54"/>
      <c r="F5328"/>
      <c r="G5328"/>
    </row>
    <row r="5329" spans="1:7" x14ac:dyDescent="0.25">
      <c r="A5329" s="45"/>
      <c r="E5329" s="54"/>
      <c r="F5329"/>
      <c r="G5329"/>
    </row>
    <row r="5330" spans="1:7" x14ac:dyDescent="0.25">
      <c r="A5330" s="45"/>
      <c r="E5330" s="54"/>
      <c r="F5330"/>
      <c r="G5330"/>
    </row>
    <row r="5331" spans="1:7" x14ac:dyDescent="0.25">
      <c r="A5331" s="45"/>
      <c r="E5331" s="54"/>
      <c r="F5331"/>
      <c r="G5331"/>
    </row>
    <row r="5332" spans="1:7" x14ac:dyDescent="0.25">
      <c r="A5332" s="45"/>
      <c r="E5332" s="54"/>
      <c r="F5332"/>
      <c r="G5332"/>
    </row>
    <row r="5333" spans="1:7" x14ac:dyDescent="0.25">
      <c r="A5333" s="45"/>
      <c r="E5333" s="54"/>
      <c r="F5333"/>
      <c r="G5333"/>
    </row>
    <row r="5334" spans="1:7" x14ac:dyDescent="0.25">
      <c r="A5334" s="45"/>
      <c r="E5334" s="54"/>
      <c r="F5334"/>
      <c r="G5334"/>
    </row>
    <row r="5335" spans="1:7" x14ac:dyDescent="0.25">
      <c r="A5335" s="45"/>
      <c r="E5335" s="54"/>
      <c r="F5335"/>
      <c r="G5335"/>
    </row>
    <row r="5336" spans="1:7" x14ac:dyDescent="0.25">
      <c r="A5336" s="45"/>
      <c r="E5336" s="54"/>
      <c r="F5336"/>
      <c r="G5336"/>
    </row>
    <row r="5337" spans="1:7" x14ac:dyDescent="0.25">
      <c r="A5337" s="45"/>
      <c r="E5337" s="54"/>
      <c r="F5337"/>
      <c r="G5337"/>
    </row>
    <row r="5338" spans="1:7" x14ac:dyDescent="0.25">
      <c r="A5338" s="45"/>
      <c r="E5338" s="54"/>
      <c r="F5338"/>
      <c r="G5338"/>
    </row>
    <row r="5339" spans="1:7" x14ac:dyDescent="0.25">
      <c r="A5339" s="45"/>
      <c r="E5339" s="54"/>
      <c r="F5339"/>
      <c r="G5339"/>
    </row>
    <row r="5340" spans="1:7" x14ac:dyDescent="0.25">
      <c r="A5340" s="45"/>
      <c r="E5340" s="54"/>
      <c r="F5340"/>
      <c r="G5340"/>
    </row>
    <row r="5341" spans="1:7" x14ac:dyDescent="0.25">
      <c r="A5341" s="45"/>
      <c r="E5341" s="54"/>
      <c r="F5341"/>
      <c r="G5341"/>
    </row>
    <row r="5342" spans="1:7" x14ac:dyDescent="0.25">
      <c r="A5342" s="45"/>
      <c r="E5342" s="54"/>
      <c r="F5342"/>
      <c r="G5342"/>
    </row>
    <row r="5343" spans="1:7" x14ac:dyDescent="0.25">
      <c r="A5343" s="45"/>
      <c r="E5343" s="54"/>
      <c r="F5343"/>
      <c r="G5343"/>
    </row>
    <row r="5344" spans="1:7" x14ac:dyDescent="0.25">
      <c r="A5344" s="45"/>
      <c r="E5344" s="54"/>
      <c r="F5344"/>
      <c r="G5344"/>
    </row>
    <row r="5345" spans="1:7" x14ac:dyDescent="0.25">
      <c r="A5345" s="45"/>
      <c r="E5345" s="54"/>
      <c r="F5345"/>
      <c r="G5345"/>
    </row>
    <row r="5346" spans="1:7" x14ac:dyDescent="0.25">
      <c r="A5346" s="45"/>
      <c r="E5346" s="54"/>
      <c r="F5346"/>
      <c r="G5346"/>
    </row>
    <row r="5347" spans="1:7" x14ac:dyDescent="0.25">
      <c r="A5347" s="45"/>
      <c r="E5347" s="54"/>
      <c r="F5347"/>
      <c r="G5347"/>
    </row>
    <row r="5348" spans="1:7" x14ac:dyDescent="0.25">
      <c r="A5348" s="45"/>
      <c r="E5348" s="54"/>
      <c r="F5348"/>
      <c r="G5348"/>
    </row>
    <row r="5349" spans="1:7" x14ac:dyDescent="0.25">
      <c r="A5349" s="45"/>
      <c r="E5349" s="54"/>
      <c r="F5349"/>
      <c r="G5349"/>
    </row>
    <row r="5350" spans="1:7" x14ac:dyDescent="0.25">
      <c r="A5350" s="45"/>
      <c r="E5350" s="54"/>
      <c r="F5350"/>
      <c r="G5350"/>
    </row>
    <row r="5351" spans="1:7" x14ac:dyDescent="0.25">
      <c r="A5351" s="45"/>
      <c r="E5351" s="54"/>
      <c r="F5351"/>
      <c r="G5351"/>
    </row>
    <row r="5352" spans="1:7" x14ac:dyDescent="0.25">
      <c r="A5352" s="45"/>
      <c r="E5352" s="54"/>
      <c r="F5352"/>
      <c r="G5352"/>
    </row>
    <row r="5353" spans="1:7" x14ac:dyDescent="0.25">
      <c r="A5353" s="45"/>
      <c r="E5353" s="54"/>
      <c r="F5353"/>
      <c r="G5353"/>
    </row>
    <row r="5354" spans="1:7" x14ac:dyDescent="0.25">
      <c r="A5354" s="45"/>
      <c r="E5354" s="54"/>
      <c r="F5354"/>
      <c r="G5354"/>
    </row>
    <row r="5355" spans="1:7" x14ac:dyDescent="0.25">
      <c r="A5355" s="45"/>
      <c r="E5355" s="54"/>
      <c r="F5355"/>
      <c r="G5355"/>
    </row>
    <row r="5356" spans="1:7" x14ac:dyDescent="0.25">
      <c r="A5356" s="45"/>
      <c r="E5356" s="54"/>
      <c r="F5356"/>
      <c r="G5356"/>
    </row>
    <row r="5357" spans="1:7" x14ac:dyDescent="0.25">
      <c r="A5357" s="45"/>
      <c r="E5357" s="54"/>
      <c r="F5357"/>
      <c r="G5357"/>
    </row>
    <row r="5358" spans="1:7" x14ac:dyDescent="0.25">
      <c r="A5358" s="45"/>
      <c r="E5358" s="54"/>
      <c r="F5358"/>
      <c r="G5358"/>
    </row>
    <row r="5359" spans="1:7" x14ac:dyDescent="0.25">
      <c r="A5359" s="45"/>
      <c r="E5359" s="54"/>
      <c r="F5359"/>
      <c r="G5359"/>
    </row>
    <row r="5360" spans="1:7" x14ac:dyDescent="0.25">
      <c r="A5360" s="45"/>
      <c r="E5360" s="54"/>
      <c r="F5360"/>
      <c r="G5360"/>
    </row>
    <row r="5361" spans="1:7" x14ac:dyDescent="0.25">
      <c r="A5361" s="45"/>
      <c r="E5361" s="54"/>
      <c r="F5361"/>
      <c r="G5361"/>
    </row>
    <row r="5362" spans="1:7" x14ac:dyDescent="0.25">
      <c r="A5362" s="45"/>
      <c r="E5362" s="54"/>
      <c r="F5362"/>
      <c r="G5362"/>
    </row>
    <row r="5363" spans="1:7" x14ac:dyDescent="0.25">
      <c r="A5363" s="45"/>
      <c r="E5363" s="54"/>
      <c r="F5363"/>
      <c r="G5363"/>
    </row>
    <row r="5364" spans="1:7" x14ac:dyDescent="0.25">
      <c r="A5364" s="45"/>
      <c r="E5364" s="54"/>
      <c r="F5364"/>
      <c r="G5364"/>
    </row>
    <row r="5365" spans="1:7" x14ac:dyDescent="0.25">
      <c r="A5365" s="45"/>
      <c r="E5365" s="54"/>
      <c r="F5365"/>
      <c r="G5365"/>
    </row>
    <row r="5366" spans="1:7" x14ac:dyDescent="0.25">
      <c r="A5366" s="45"/>
      <c r="E5366" s="54"/>
      <c r="F5366"/>
      <c r="G5366"/>
    </row>
    <row r="5367" spans="1:7" x14ac:dyDescent="0.25">
      <c r="A5367" s="45"/>
      <c r="E5367" s="54"/>
      <c r="F5367"/>
      <c r="G5367"/>
    </row>
    <row r="5368" spans="1:7" x14ac:dyDescent="0.25">
      <c r="A5368" s="45"/>
      <c r="E5368" s="54"/>
      <c r="F5368"/>
      <c r="G5368"/>
    </row>
    <row r="5369" spans="1:7" x14ac:dyDescent="0.25">
      <c r="A5369" s="45"/>
      <c r="E5369" s="54"/>
      <c r="F5369"/>
      <c r="G5369"/>
    </row>
    <row r="5370" spans="1:7" x14ac:dyDescent="0.25">
      <c r="A5370" s="45"/>
      <c r="E5370" s="54"/>
      <c r="F5370"/>
      <c r="G5370"/>
    </row>
    <row r="5371" spans="1:7" x14ac:dyDescent="0.25">
      <c r="A5371" s="45"/>
      <c r="E5371" s="54"/>
      <c r="F5371"/>
      <c r="G5371"/>
    </row>
    <row r="5372" spans="1:7" x14ac:dyDescent="0.25">
      <c r="A5372" s="45"/>
      <c r="E5372" s="54"/>
      <c r="F5372"/>
      <c r="G5372"/>
    </row>
    <row r="5373" spans="1:7" x14ac:dyDescent="0.25">
      <c r="A5373" s="45"/>
      <c r="E5373" s="54"/>
      <c r="F5373"/>
      <c r="G5373"/>
    </row>
    <row r="5374" spans="1:7" x14ac:dyDescent="0.25">
      <c r="A5374" s="45"/>
      <c r="E5374" s="54"/>
      <c r="F5374"/>
      <c r="G5374"/>
    </row>
    <row r="5375" spans="1:7" x14ac:dyDescent="0.25">
      <c r="A5375" s="45"/>
      <c r="E5375" s="54"/>
      <c r="F5375"/>
      <c r="G5375"/>
    </row>
    <row r="5376" spans="1:7" x14ac:dyDescent="0.25">
      <c r="A5376" s="45"/>
      <c r="E5376" s="54"/>
      <c r="F5376"/>
      <c r="G5376"/>
    </row>
    <row r="5377" spans="1:7" x14ac:dyDescent="0.25">
      <c r="A5377" s="45"/>
      <c r="E5377" s="54"/>
      <c r="F5377"/>
      <c r="G5377"/>
    </row>
    <row r="5378" spans="1:7" x14ac:dyDescent="0.25">
      <c r="A5378" s="45"/>
      <c r="E5378" s="54"/>
      <c r="F5378"/>
      <c r="G5378"/>
    </row>
    <row r="5379" spans="1:7" x14ac:dyDescent="0.25">
      <c r="A5379" s="45"/>
      <c r="E5379" s="54"/>
      <c r="F5379"/>
      <c r="G5379"/>
    </row>
    <row r="5380" spans="1:7" x14ac:dyDescent="0.25">
      <c r="A5380" s="45"/>
      <c r="E5380" s="54"/>
      <c r="F5380"/>
      <c r="G5380"/>
    </row>
    <row r="5381" spans="1:7" x14ac:dyDescent="0.25">
      <c r="A5381" s="45"/>
      <c r="E5381" s="54"/>
      <c r="F5381"/>
      <c r="G5381"/>
    </row>
    <row r="5382" spans="1:7" x14ac:dyDescent="0.25">
      <c r="A5382" s="45"/>
      <c r="E5382" s="54"/>
      <c r="F5382"/>
      <c r="G5382"/>
    </row>
    <row r="5383" spans="1:7" x14ac:dyDescent="0.25">
      <c r="A5383" s="45"/>
      <c r="E5383" s="54"/>
      <c r="F5383"/>
      <c r="G5383"/>
    </row>
    <row r="5384" spans="1:7" x14ac:dyDescent="0.25">
      <c r="A5384" s="45"/>
      <c r="E5384" s="54"/>
      <c r="F5384"/>
      <c r="G5384"/>
    </row>
    <row r="5385" spans="1:7" x14ac:dyDescent="0.25">
      <c r="A5385" s="45"/>
      <c r="E5385" s="54"/>
      <c r="F5385"/>
      <c r="G5385"/>
    </row>
    <row r="5386" spans="1:7" x14ac:dyDescent="0.25">
      <c r="A5386" s="45"/>
      <c r="E5386" s="54"/>
      <c r="F5386"/>
      <c r="G5386"/>
    </row>
    <row r="5387" spans="1:7" x14ac:dyDescent="0.25">
      <c r="A5387" s="45"/>
      <c r="E5387" s="54"/>
      <c r="F5387"/>
      <c r="G5387"/>
    </row>
    <row r="5388" spans="1:7" x14ac:dyDescent="0.25">
      <c r="A5388" s="45"/>
      <c r="E5388" s="54"/>
      <c r="F5388"/>
      <c r="G5388"/>
    </row>
    <row r="5389" spans="1:7" x14ac:dyDescent="0.25">
      <c r="A5389" s="45"/>
      <c r="E5389" s="54"/>
      <c r="F5389"/>
      <c r="G5389"/>
    </row>
    <row r="5390" spans="1:7" x14ac:dyDescent="0.25">
      <c r="A5390" s="45"/>
      <c r="E5390" s="54"/>
      <c r="F5390"/>
      <c r="G5390"/>
    </row>
    <row r="5391" spans="1:7" x14ac:dyDescent="0.25">
      <c r="A5391" s="45"/>
      <c r="E5391" s="54"/>
      <c r="F5391"/>
      <c r="G5391"/>
    </row>
    <row r="5392" spans="1:7" x14ac:dyDescent="0.25">
      <c r="A5392" s="45"/>
      <c r="E5392" s="54"/>
      <c r="F5392"/>
      <c r="G5392"/>
    </row>
    <row r="5393" spans="1:7" x14ac:dyDescent="0.25">
      <c r="A5393" s="45"/>
      <c r="E5393" s="54"/>
      <c r="F5393"/>
      <c r="G5393"/>
    </row>
    <row r="5394" spans="1:7" x14ac:dyDescent="0.25">
      <c r="A5394" s="45"/>
      <c r="E5394" s="54"/>
      <c r="F5394"/>
      <c r="G5394"/>
    </row>
    <row r="5395" spans="1:7" x14ac:dyDescent="0.25">
      <c r="A5395" s="45"/>
      <c r="E5395" s="54"/>
      <c r="F5395"/>
      <c r="G5395"/>
    </row>
    <row r="5396" spans="1:7" x14ac:dyDescent="0.25">
      <c r="A5396" s="45"/>
      <c r="E5396" s="54"/>
      <c r="F5396"/>
      <c r="G5396"/>
    </row>
    <row r="5397" spans="1:7" x14ac:dyDescent="0.25">
      <c r="A5397" s="45"/>
      <c r="E5397" s="54"/>
      <c r="F5397"/>
      <c r="G5397"/>
    </row>
    <row r="5398" spans="1:7" x14ac:dyDescent="0.25">
      <c r="A5398" s="45"/>
      <c r="E5398" s="54"/>
      <c r="F5398"/>
      <c r="G5398"/>
    </row>
    <row r="5399" spans="1:7" x14ac:dyDescent="0.25">
      <c r="E5399" s="54"/>
    </row>
    <row r="5400" spans="1:7" x14ac:dyDescent="0.25">
      <c r="E5400" s="54"/>
    </row>
    <row r="5401" spans="1:7" x14ac:dyDescent="0.25">
      <c r="E5401" s="54"/>
    </row>
    <row r="5402" spans="1:7" x14ac:dyDescent="0.25">
      <c r="E5402" s="54"/>
    </row>
    <row r="5403" spans="1:7" x14ac:dyDescent="0.25">
      <c r="E5403" s="54"/>
    </row>
    <row r="5404" spans="1:7" x14ac:dyDescent="0.25">
      <c r="E5404" s="54"/>
    </row>
    <row r="5405" spans="1:7" x14ac:dyDescent="0.25">
      <c r="E5405" s="54"/>
    </row>
    <row r="5406" spans="1:7" x14ac:dyDescent="0.25">
      <c r="E5406" s="54"/>
    </row>
    <row r="5407" spans="1:7" x14ac:dyDescent="0.25">
      <c r="E5407" s="54"/>
    </row>
    <row r="5408" spans="1:7" x14ac:dyDescent="0.25">
      <c r="E5408" s="54"/>
    </row>
    <row r="5409" spans="5:5" x14ac:dyDescent="0.25">
      <c r="E5409" s="54"/>
    </row>
    <row r="5410" spans="5:5" x14ac:dyDescent="0.25">
      <c r="E5410" s="54"/>
    </row>
    <row r="5411" spans="5:5" x14ac:dyDescent="0.25">
      <c r="E5411" s="54"/>
    </row>
    <row r="5412" spans="5:5" x14ac:dyDescent="0.25">
      <c r="E5412" s="54"/>
    </row>
    <row r="5413" spans="5:5" x14ac:dyDescent="0.25">
      <c r="E5413" s="54"/>
    </row>
    <row r="5414" spans="5:5" x14ac:dyDescent="0.25">
      <c r="E5414" s="54"/>
    </row>
    <row r="5415" spans="5:5" x14ac:dyDescent="0.25">
      <c r="E5415" s="54"/>
    </row>
    <row r="5416" spans="5:5" x14ac:dyDescent="0.25">
      <c r="E5416" s="54"/>
    </row>
    <row r="5417" spans="5:5" x14ac:dyDescent="0.25">
      <c r="E5417" s="54"/>
    </row>
    <row r="5418" spans="5:5" x14ac:dyDescent="0.25">
      <c r="E5418" s="54"/>
    </row>
    <row r="5419" spans="5:5" x14ac:dyDescent="0.25">
      <c r="E5419" s="54"/>
    </row>
    <row r="5420" spans="5:5" x14ac:dyDescent="0.25">
      <c r="E5420" s="54"/>
    </row>
    <row r="5421" spans="5:5" x14ac:dyDescent="0.25">
      <c r="E5421" s="54"/>
    </row>
    <row r="5422" spans="5:5" x14ac:dyDescent="0.25">
      <c r="E5422" s="54"/>
    </row>
    <row r="5423" spans="5:5" x14ac:dyDescent="0.25">
      <c r="E5423" s="54"/>
    </row>
    <row r="5424" spans="5:5" x14ac:dyDescent="0.25">
      <c r="E5424" s="54"/>
    </row>
    <row r="5425" spans="5:5" x14ac:dyDescent="0.25">
      <c r="E5425" s="54"/>
    </row>
    <row r="5426" spans="5:5" x14ac:dyDescent="0.25">
      <c r="E5426" s="54"/>
    </row>
    <row r="5427" spans="5:5" x14ac:dyDescent="0.25">
      <c r="E5427" s="54"/>
    </row>
    <row r="5428" spans="5:5" x14ac:dyDescent="0.25">
      <c r="E5428" s="54"/>
    </row>
    <row r="5429" spans="5:5" x14ac:dyDescent="0.25">
      <c r="E5429" s="54"/>
    </row>
    <row r="5430" spans="5:5" x14ac:dyDescent="0.25">
      <c r="E5430" s="54"/>
    </row>
    <row r="5431" spans="5:5" x14ac:dyDescent="0.25">
      <c r="E5431" s="54"/>
    </row>
    <row r="5432" spans="5:5" x14ac:dyDescent="0.25">
      <c r="E5432" s="54"/>
    </row>
    <row r="5433" spans="5:5" x14ac:dyDescent="0.25">
      <c r="E5433" s="54"/>
    </row>
    <row r="5434" spans="5:5" x14ac:dyDescent="0.25">
      <c r="E5434" s="54"/>
    </row>
    <row r="5435" spans="5:5" x14ac:dyDescent="0.25">
      <c r="E5435" s="54"/>
    </row>
    <row r="5436" spans="5:5" x14ac:dyDescent="0.25">
      <c r="E5436" s="54"/>
    </row>
    <row r="5437" spans="5:5" x14ac:dyDescent="0.25">
      <c r="E5437" s="54"/>
    </row>
    <row r="5438" spans="5:5" x14ac:dyDescent="0.25">
      <c r="E5438" s="54"/>
    </row>
    <row r="5439" spans="5:5" x14ac:dyDescent="0.25">
      <c r="E5439" s="54"/>
    </row>
    <row r="5440" spans="5:5" x14ac:dyDescent="0.25">
      <c r="E5440" s="54"/>
    </row>
    <row r="5441" spans="5:5" x14ac:dyDescent="0.25">
      <c r="E5441" s="54"/>
    </row>
    <row r="5442" spans="5:5" x14ac:dyDescent="0.25">
      <c r="E5442" s="54"/>
    </row>
    <row r="5443" spans="5:5" x14ac:dyDescent="0.25">
      <c r="E5443" s="54"/>
    </row>
    <row r="5444" spans="5:5" x14ac:dyDescent="0.25">
      <c r="E5444" s="54"/>
    </row>
    <row r="5445" spans="5:5" x14ac:dyDescent="0.25">
      <c r="E5445" s="54"/>
    </row>
    <row r="5446" spans="5:5" x14ac:dyDescent="0.25">
      <c r="E5446" s="54"/>
    </row>
    <row r="5447" spans="5:5" x14ac:dyDescent="0.25">
      <c r="E5447" s="54"/>
    </row>
    <row r="5448" spans="5:5" x14ac:dyDescent="0.25">
      <c r="E5448" s="54"/>
    </row>
    <row r="5449" spans="5:5" x14ac:dyDescent="0.25">
      <c r="E5449" s="54"/>
    </row>
    <row r="5450" spans="5:5" x14ac:dyDescent="0.25">
      <c r="E5450" s="54"/>
    </row>
    <row r="5451" spans="5:5" x14ac:dyDescent="0.25">
      <c r="E5451" s="54"/>
    </row>
    <row r="5452" spans="5:5" x14ac:dyDescent="0.25">
      <c r="E5452" s="54"/>
    </row>
    <row r="5453" spans="5:5" x14ac:dyDescent="0.25">
      <c r="E5453" s="54"/>
    </row>
    <row r="5454" spans="5:5" x14ac:dyDescent="0.25">
      <c r="E5454" s="54"/>
    </row>
    <row r="5455" spans="5:5" x14ac:dyDescent="0.25">
      <c r="E5455" s="54"/>
    </row>
    <row r="5456" spans="5:5" x14ac:dyDescent="0.25">
      <c r="E5456" s="54"/>
    </row>
    <row r="5457" spans="1:7" x14ac:dyDescent="0.25">
      <c r="E5457" s="54"/>
    </row>
    <row r="5458" spans="1:7" x14ac:dyDescent="0.25">
      <c r="E5458" s="54"/>
    </row>
    <row r="5459" spans="1:7" x14ac:dyDescent="0.25">
      <c r="E5459" s="54"/>
    </row>
    <row r="5460" spans="1:7" x14ac:dyDescent="0.25">
      <c r="E5460" s="54"/>
    </row>
    <row r="5461" spans="1:7" x14ac:dyDescent="0.25">
      <c r="E5461" s="54"/>
    </row>
    <row r="5462" spans="1:7" x14ac:dyDescent="0.25">
      <c r="E5462" s="54"/>
    </row>
    <row r="5463" spans="1:7" x14ac:dyDescent="0.25">
      <c r="E5463" s="54"/>
    </row>
    <row r="5464" spans="1:7" x14ac:dyDescent="0.25">
      <c r="A5464" s="48"/>
      <c r="E5464" s="54"/>
      <c r="F5464"/>
      <c r="G5464"/>
    </row>
    <row r="5465" spans="1:7" x14ac:dyDescent="0.25">
      <c r="A5465" s="48"/>
      <c r="E5465" s="54"/>
      <c r="F5465"/>
      <c r="G5465"/>
    </row>
    <row r="5466" spans="1:7" x14ac:dyDescent="0.25">
      <c r="A5466" s="48"/>
      <c r="E5466" s="54"/>
      <c r="F5466"/>
      <c r="G5466"/>
    </row>
    <row r="5467" spans="1:7" x14ac:dyDescent="0.25">
      <c r="A5467" s="48"/>
      <c r="E5467" s="54"/>
      <c r="F5467"/>
      <c r="G5467"/>
    </row>
    <row r="5468" spans="1:7" x14ac:dyDescent="0.25">
      <c r="E5468" s="54"/>
    </row>
    <row r="5469" spans="1:7" x14ac:dyDescent="0.25">
      <c r="E5469" s="54"/>
    </row>
    <row r="5470" spans="1:7" x14ac:dyDescent="0.25">
      <c r="E5470" s="54"/>
    </row>
    <row r="5471" spans="1:7" x14ac:dyDescent="0.25">
      <c r="E5471" s="54"/>
    </row>
    <row r="5472" spans="1:7" x14ac:dyDescent="0.25">
      <c r="E5472" s="54"/>
    </row>
    <row r="5473" spans="5:5" x14ac:dyDescent="0.25">
      <c r="E5473" s="54"/>
    </row>
    <row r="5474" spans="5:5" x14ac:dyDescent="0.25">
      <c r="E5474" s="54"/>
    </row>
    <row r="21984" spans="5:5" x14ac:dyDescent="0.25">
      <c r="E21984" s="54"/>
    </row>
    <row r="21985" spans="5:5" x14ac:dyDescent="0.25">
      <c r="E21985" s="54"/>
    </row>
    <row r="21986" spans="5:5" x14ac:dyDescent="0.25">
      <c r="E21986" s="54"/>
    </row>
    <row r="21987" spans="5:5" x14ac:dyDescent="0.25">
      <c r="E21987" s="54"/>
    </row>
    <row r="21988" spans="5:5" x14ac:dyDescent="0.25">
      <c r="E21988" s="54"/>
    </row>
    <row r="21989" spans="5:5" x14ac:dyDescent="0.25">
      <c r="E21989" s="54"/>
    </row>
    <row r="21990" spans="5:5" x14ac:dyDescent="0.25">
      <c r="E21990" s="54"/>
    </row>
    <row r="21991" spans="5:5" x14ac:dyDescent="0.25">
      <c r="E21991" s="54"/>
    </row>
    <row r="21992" spans="5:5" x14ac:dyDescent="0.25">
      <c r="E21992" s="54"/>
    </row>
  </sheetData>
  <sheetProtection algorithmName="SHA-512" hashValue="IdV7w05roQoBYsgmZsyMt8zrG+k9ACdMMZbYBs25alVqDBKutd7FOtd4U+Uvi8NyZW2ZkRTiTG3a/G6Ros5rpQ==" saltValue="uc4UUH3HZvUpwV56JFVqXg==" spinCount="100000" sheet="1" objects="1" scenarios="1" sort="0" autoFilter="0"/>
  <autoFilter ref="A1:G21992" xr:uid="{E84BD9FC-04CB-4A7B-8452-3EA08047DECF}">
    <sortState xmlns:xlrd2="http://schemas.microsoft.com/office/spreadsheetml/2017/richdata2" ref="A2:G21992">
      <sortCondition ref="A1:A21992"/>
    </sortState>
  </autoFilter>
  <conditionalFormatting sqref="A1690 A1657:A1659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ProgressBar_Label">
          <controlPr defaultSize="0" autoLine="0" r:id="rId5">
            <anchor moveWithCells="1">
              <from>
                <xdr:col>2</xdr:col>
                <xdr:colOff>1162050</xdr:colOff>
                <xdr:row>4</xdr:row>
                <xdr:rowOff>0</xdr:rowOff>
              </from>
              <to>
                <xdr:col>5</xdr:col>
                <xdr:colOff>1685925</xdr:colOff>
                <xdr:row>9</xdr:row>
                <xdr:rowOff>114300</xdr:rowOff>
              </to>
            </anchor>
          </controlPr>
        </control>
      </mc:Choice>
      <mc:Fallback>
        <control shapeId="3073" r:id="rId4" name="ProgressBar_Label"/>
      </mc:Fallback>
    </mc:AlternateContent>
    <mc:AlternateContent xmlns:mc="http://schemas.openxmlformats.org/markup-compatibility/2006">
      <mc:Choice Requires="x14">
        <control shapeId="3074" r:id="rId6" name="ProgressBarLoad">
          <controlPr defaultSize="0" autoLine="0" autoPict="0" r:id="rId7">
            <anchor moveWithCells="1">
              <from>
                <xdr:col>2</xdr:col>
                <xdr:colOff>1295400</xdr:colOff>
                <xdr:row>6</xdr:row>
                <xdr:rowOff>123825</xdr:rowOff>
              </from>
              <to>
                <xdr:col>5</xdr:col>
                <xdr:colOff>1581150</xdr:colOff>
                <xdr:row>8</xdr:row>
                <xdr:rowOff>123825</xdr:rowOff>
              </to>
            </anchor>
          </controlPr>
        </control>
      </mc:Choice>
      <mc:Fallback>
        <control shapeId="3074" r:id="rId6" name="ProgressBarLoad"/>
      </mc:Fallback>
    </mc:AlternateContent>
    <mc:AlternateContent xmlns:mc="http://schemas.openxmlformats.org/markup-compatibility/2006">
      <mc:Choice Requires="x14">
        <control shapeId="3075" r:id="rId8" name="ProgressBar_percentage">
          <controlPr defaultSize="0" autoLine="0" r:id="rId9">
            <anchor moveWithCells="1">
              <from>
                <xdr:col>3</xdr:col>
                <xdr:colOff>1657350</xdr:colOff>
                <xdr:row>5</xdr:row>
                <xdr:rowOff>66675</xdr:rowOff>
              </from>
              <to>
                <xdr:col>4</xdr:col>
                <xdr:colOff>990600</xdr:colOff>
                <xdr:row>6</xdr:row>
                <xdr:rowOff>104775</xdr:rowOff>
              </to>
            </anchor>
          </controlPr>
        </control>
      </mc:Choice>
      <mc:Fallback>
        <control shapeId="3075" r:id="rId8" name="ProgressBar_percentag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14AEF-9C15-43E2-B340-77EF5D173A8C}">
  <sheetPr codeName="Statistic">
    <tabColor rgb="FF7030A0"/>
  </sheetPr>
  <dimension ref="A1:C100"/>
  <sheetViews>
    <sheetView zoomScale="70" zoomScaleNormal="70" workbookViewId="0">
      <selection activeCell="A47" sqref="A47"/>
    </sheetView>
  </sheetViews>
  <sheetFormatPr defaultRowHeight="15" x14ac:dyDescent="0.25"/>
  <cols>
    <col min="1" max="1" width="58.5703125" customWidth="1"/>
  </cols>
  <sheetData>
    <row r="1" spans="1:2" x14ac:dyDescent="0.25">
      <c r="A1" s="58" t="str" cm="1">
        <f t="array" aca="1" ref="A1" ca="1">_xlfn.CONCAT("Total Amount of ", _xlfn.TEXTBEFORE(_xlfn.TEXTAFTER(CELL("filename"),"["),".xlsm")," Requirements")</f>
        <v>Total Amount of Default_Spreadsheet Requirements</v>
      </c>
      <c r="B1" s="58"/>
    </row>
    <row r="2" spans="1:2" x14ac:dyDescent="0.25">
      <c r="A2" t="s">
        <v>18</v>
      </c>
      <c r="B2">
        <f ca="1">COUNTIF(INDIRECT("Trace!A:A"), "&lt;&gt;")-1</f>
        <v>0</v>
      </c>
    </row>
    <row r="3" spans="1:2" x14ac:dyDescent="0.25">
      <c r="A3" s="6" t="s">
        <v>19</v>
      </c>
      <c r="B3">
        <f ca="1">COUNTIF(INDIRECT("Trace!C:C"), "Tests OK")</f>
        <v>0</v>
      </c>
    </row>
    <row r="4" spans="1:2" x14ac:dyDescent="0.25">
      <c r="A4" s="7" t="s">
        <v>20</v>
      </c>
      <c r="B4">
        <f ca="1">COUNTIF(INDIRECT("Trace!C:C"), "NOK")</f>
        <v>0</v>
      </c>
    </row>
    <row r="5" spans="1:2" x14ac:dyDescent="0.25">
      <c r="A5" s="8" t="s">
        <v>21</v>
      </c>
      <c r="B5">
        <f ca="1">COUNTIFS(INDIRECT("Trace!C:C"), "Pending....",Trace!E:E,"")</f>
        <v>0</v>
      </c>
    </row>
    <row r="6" spans="1:2" x14ac:dyDescent="0.25">
      <c r="A6" s="9" t="s">
        <v>22</v>
      </c>
      <c r="B6">
        <f ca="1">COUNTIFS(INDIRECT("Trace!C:C"), "Pending....",Trace!E:E,"&lt;&gt;")</f>
        <v>0</v>
      </c>
    </row>
    <row r="11" spans="1:2" x14ac:dyDescent="0.25">
      <c r="B11" t="s">
        <v>23</v>
      </c>
    </row>
    <row r="14" spans="1:2" x14ac:dyDescent="0.25">
      <c r="A14" s="6" t="s">
        <v>24</v>
      </c>
      <c r="B14" s="6" t="e">
        <f ca="1">B3/B2</f>
        <v>#DIV/0!</v>
      </c>
    </row>
    <row r="15" spans="1:2" x14ac:dyDescent="0.25">
      <c r="A15" s="7" t="s">
        <v>25</v>
      </c>
      <c r="B15" s="7" t="e">
        <f ca="1">B4/B2</f>
        <v>#DIV/0!</v>
      </c>
    </row>
    <row r="16" spans="1:2" x14ac:dyDescent="0.25">
      <c r="A16" s="8" t="s">
        <v>26</v>
      </c>
      <c r="B16" s="8" t="e">
        <f ca="1">B5/B2</f>
        <v>#DIV/0!</v>
      </c>
    </row>
    <row r="17" spans="1:2" x14ac:dyDescent="0.25">
      <c r="A17" s="9" t="s">
        <v>27</v>
      </c>
      <c r="B17" s="9" t="e">
        <f ca="1">B6/B2</f>
        <v>#DIV/0!</v>
      </c>
    </row>
    <row r="34" spans="1:3" x14ac:dyDescent="0.25">
      <c r="A34" s="53"/>
    </row>
    <row r="35" spans="1:3" x14ac:dyDescent="0.25">
      <c r="A35" s="53"/>
    </row>
    <row r="36" spans="1:3" x14ac:dyDescent="0.25">
      <c r="A36" s="53"/>
    </row>
    <row r="37" spans="1:3" x14ac:dyDescent="0.25">
      <c r="A37" s="53"/>
    </row>
    <row r="46" spans="1:3" x14ac:dyDescent="0.25">
      <c r="A46" s="58">
        <v>1187</v>
      </c>
      <c r="B46" s="58"/>
    </row>
    <row r="47" spans="1:3" x14ac:dyDescent="0.25">
      <c r="A47" t="s">
        <v>28</v>
      </c>
      <c r="B47">
        <v>966</v>
      </c>
    </row>
    <row r="48" spans="1:3" x14ac:dyDescent="0.25">
      <c r="A48" t="s">
        <v>29</v>
      </c>
      <c r="B48">
        <v>14</v>
      </c>
      <c r="C48" s="56">
        <f>B48/$B$47</f>
        <v>1.4492753623188406E-2</v>
      </c>
    </row>
    <row r="49" spans="1:3" x14ac:dyDescent="0.25">
      <c r="A49" t="s">
        <v>30</v>
      </c>
      <c r="B49">
        <v>187</v>
      </c>
      <c r="C49" s="56">
        <f t="shared" ref="C49:C50" si="0">B49/$B$47</f>
        <v>0.19358178053830227</v>
      </c>
    </row>
    <row r="50" spans="1:3" x14ac:dyDescent="0.25">
      <c r="A50" t="s">
        <v>31</v>
      </c>
      <c r="B50">
        <v>184</v>
      </c>
      <c r="C50" s="56">
        <f t="shared" si="0"/>
        <v>0.19047619047619047</v>
      </c>
    </row>
    <row r="53" spans="1:3" x14ac:dyDescent="0.25">
      <c r="B53">
        <f>SUM(B48:B50)</f>
        <v>385</v>
      </c>
    </row>
    <row r="97" spans="2:2" x14ac:dyDescent="0.25">
      <c r="B97">
        <v>998</v>
      </c>
    </row>
    <row r="98" spans="2:2" x14ac:dyDescent="0.25">
      <c r="B98">
        <v>331</v>
      </c>
    </row>
    <row r="99" spans="2:2" x14ac:dyDescent="0.25">
      <c r="B99">
        <v>40</v>
      </c>
    </row>
    <row r="100" spans="2:2" x14ac:dyDescent="0.25">
      <c r="B100">
        <v>611</v>
      </c>
    </row>
  </sheetData>
  <mergeCells count="2">
    <mergeCell ref="A1:B1"/>
    <mergeCell ref="A46:B46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94861B-2ECF-426C-9A08-EE1998C31F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Trace</vt:lpstr>
      <vt:lpstr>TestCases</vt:lpstr>
      <vt:lpstr>Statistics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G. Schabarum - XR</dc:creator>
  <cp:keywords/>
  <dc:description/>
  <cp:lastModifiedBy>Luis G. Schabarum - XR</cp:lastModifiedBy>
  <cp:revision/>
  <dcterms:created xsi:type="dcterms:W3CDTF">2024-03-25T17:19:59Z</dcterms:created>
  <dcterms:modified xsi:type="dcterms:W3CDTF">2024-09-26T23:58:41Z</dcterms:modified>
  <cp:category/>
  <cp:contentStatus/>
</cp:coreProperties>
</file>